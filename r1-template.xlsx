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rtightductingptyltd-my.sharepoint.com/personal/tracey_baker_airtightducting_com_au/Documents/Tracey - Personal/My Documents/Scouts WA/Midland Scout Group/"/>
    </mc:Choice>
  </mc:AlternateContent>
  <xr:revisionPtr revIDLastSave="5" documentId="8_{9736DD39-50CD-4286-AD22-FF6417808580}" xr6:coauthVersionLast="47" xr6:coauthVersionMax="47" xr10:uidLastSave="{09AEFF42-DA84-4E21-AAE9-22398EB702EE}"/>
  <bookViews>
    <workbookView xWindow="-108" yWindow="-108" windowWidth="23256" windowHeight="12456" firstSheet="1" activeTab="1" xr2:uid="{00000000-000D-0000-FFFF-FFFF00000000}"/>
  </bookViews>
  <sheets>
    <sheet name="Instructions" sheetId="1" r:id="rId1"/>
    <sheet name="Risk Matrix" sheetId="2" r:id="rId2"/>
    <sheet name="Event Details" sheetId="3" r:id="rId3"/>
    <sheet name="Event Risks" sheetId="5" r:id="rId4"/>
    <sheet name="Activity Risks" sheetId="6" r:id="rId5"/>
    <sheet name="Sign-off" sheetId="4" r:id="rId6"/>
    <sheet name="Lookups" sheetId="7" state="hidden" r:id="rId7"/>
  </sheets>
  <definedNames>
    <definedName name="Activity" localSheetId="6">Lookups!$I$17:$I$23</definedName>
    <definedName name="groupsList" localSheetId="6">Lookups!$C$6:$C$155</definedName>
    <definedName name="_xlnm.Print_Area" localSheetId="4">'Activity Risks'!$A$1:$K$35</definedName>
    <definedName name="_xlnm.Print_Area" localSheetId="2">'Event Details'!$A$1:$H$96</definedName>
    <definedName name="_xlnm.Print_Area" localSheetId="0">Instructions!$A$1:$E$26</definedName>
    <definedName name="_xlnm.Print_Area" localSheetId="5">'Sign-off'!$A$1:$D$32</definedName>
    <definedName name="risknumbers" localSheetId="6">#REF!</definedName>
    <definedName name="riskwords" localSheetId="6">Lookups!$L$17:$L$20</definedName>
    <definedName name="Role" localSheetId="6">Lookups!$R$5:$R$24</definedName>
    <definedName name="sectionList" localSheetId="6">Lookups!$O$5:$O$9</definedName>
    <definedName name="yesnoList" localSheetId="6">Lookups!$I$5:$I$6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1" i="4"/>
  <c r="C33" i="3"/>
  <c r="D4" i="4"/>
  <c r="D3" i="4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J8" i="5"/>
  <c r="F8" i="5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9" i="6"/>
  <c r="L31" i="7" a="1"/>
  <c r="L31" i="7" s="1"/>
  <c r="L30" i="7" a="1"/>
  <c r="L30" i="7" s="1"/>
  <c r="L29" i="7" a="1"/>
  <c r="L29" i="7" s="1"/>
  <c r="I28" i="7" a="1"/>
  <c r="I28" i="7" s="1"/>
  <c r="C94" i="3"/>
  <c r="C89" i="3"/>
  <c r="C84" i="3"/>
  <c r="F83" i="3"/>
  <c r="G82" i="3"/>
  <c r="G83" i="3" s="1"/>
  <c r="F80" i="3"/>
  <c r="G79" i="3"/>
  <c r="G80" i="3" s="1"/>
  <c r="C79" i="3"/>
  <c r="F77" i="3"/>
  <c r="G76" i="3"/>
  <c r="G77" i="3" s="1"/>
  <c r="C74" i="3"/>
  <c r="F86" i="3" s="1"/>
  <c r="F9" i="3"/>
  <c r="E9" i="3"/>
  <c r="F8" i="3"/>
  <c r="F7" i="3"/>
  <c r="E7" i="3"/>
  <c r="F6" i="3"/>
  <c r="E6" i="3"/>
  <c r="F5" i="3"/>
  <c r="E5" i="3"/>
  <c r="J28" i="5" l="1" a="1"/>
  <c r="J28" i="5" s="1"/>
  <c r="D5" i="4" s="1" a="1"/>
  <c r="D5" i="4" s="1"/>
  <c r="K29" i="6" a="1"/>
  <c r="K29" i="6" s="1"/>
  <c r="G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</author>
  </authors>
  <commentList>
    <comment ref="B14" authorId="0" shapeId="0" xr:uid="{28D01D2E-59FF-4655-8EDD-745483FC980B}">
      <text>
        <r>
          <rPr>
            <sz val="9"/>
            <color indexed="81"/>
            <rFont val="Tahoma"/>
            <charset val="1"/>
          </rPr>
          <t>Note that you will be navigating away from Excel and may receive a warning.
You should always make sure you trust the links you click on before navigating there.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1" authorId="0" shapeId="0" xr:uid="{00000000-0006-0000-0200-000001000000}">
      <text>
        <r>
          <rPr>
            <sz val="12"/>
            <color rgb="FF000000"/>
            <rFont val="Cambria"/>
            <family val="1"/>
          </rPr>
          <t>Add extra details about the activity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<sst xmlns="http://schemas.openxmlformats.org/spreadsheetml/2006/main" count="883" uniqueCount="455">
  <si>
    <t>Instructions, hints and ideas - R1</t>
  </si>
  <si>
    <t>Workflow</t>
  </si>
  <si>
    <t>Alternative versions of this R1 exist below. Note that you will be navigating away from Excel and may receive a warning.
You should always make sure you trust the links you click on before navigating there.</t>
  </si>
  <si>
    <r>
      <rPr>
        <sz val="14"/>
        <color rgb="FF000000"/>
        <rFont val="Calibri"/>
      </rPr>
      <t xml:space="preserve">To use the R1 template in Google Sheets, you will need to make your own </t>
    </r>
    <r>
      <rPr>
        <u/>
        <sz val="14"/>
        <color rgb="FF1155CC"/>
        <rFont val="Calibri"/>
      </rPr>
      <t>copy</t>
    </r>
    <r>
      <rPr>
        <sz val="14"/>
        <color rgb="FF000000"/>
        <rFont val="Calibri"/>
      </rPr>
      <t>.</t>
    </r>
  </si>
  <si>
    <r>
      <rPr>
        <sz val="14"/>
        <color rgb="FF000000"/>
        <rFont val="Calibri"/>
      </rPr>
      <t xml:space="preserve">Or, you can access the PDF from </t>
    </r>
    <r>
      <rPr>
        <u/>
        <sz val="14"/>
        <color rgb="FF1155CC"/>
        <rFont val="Calibri"/>
      </rPr>
      <t>here</t>
    </r>
    <r>
      <rPr>
        <sz val="14"/>
        <color rgb="FF000000"/>
        <rFont val="Calibri"/>
      </rPr>
      <t>.</t>
    </r>
  </si>
  <si>
    <t>If you intend to use the online version, the R1 will be open in Preview mode. To open it in your browser ready to add your details, 
please click on "File &gt; Make a copy" in the top left of your window.</t>
  </si>
  <si>
    <t>(Move across this row, then down)</t>
  </si>
  <si>
    <t>1. Start on the "Event details" tab and enter the details of the participating formations</t>
  </si>
  <si>
    <t>2. Add details of the event</t>
  </si>
  <si>
    <t>3. Enter the names and details for all of the event personnel.</t>
  </si>
  <si>
    <t>4. Enter the numbers of attendees</t>
  </si>
  <si>
    <t>5. Then go to the "Risks" tabs. NOTE: A number of people can be logged in to the R1 and work on it simultaneously.</t>
  </si>
  <si>
    <t>6. Enter your hazards and controls. Overall event risks in the "Event Risks" tab, then (if relevant) specific activity risks in the other tab. Enter the numbers 1 to 5 for each Consequence or Likelihood cell. The spreadsheet will compute the appropriate risk rating, as per the Risk Matrix.</t>
  </si>
  <si>
    <t>7. If a risk is listed in EventRisks, it does NOT need to be repeated in the ActivityRisks tab.</t>
  </si>
  <si>
    <t>8. "Sign-off" for your role</t>
  </si>
  <si>
    <t>9. The top part of the Sign-off page should be automatically filled. Personnel that need to sign off will need to enter their name, date and Scout number.</t>
  </si>
  <si>
    <t>10. Physical signatures are not required if being done online.</t>
  </si>
  <si>
    <t>11. Email ScoutsWA Events Coordinator (if necessary) or your line leader when you have completed the form</t>
  </si>
  <si>
    <t>12. Save a copy of the form for your records
(File&gt;Save As&gt;Select PDF from the drop down menu)</t>
  </si>
  <si>
    <t>13. Send a copy to others (if necessary)</t>
  </si>
  <si>
    <t>14. Guidelines, instructions and a video are available on MyScout. Search for "R1" in Resources&gt;Documents</t>
  </si>
  <si>
    <t>Support documents</t>
  </si>
  <si>
    <t>Risk Assessment Guideline</t>
  </si>
  <si>
    <t>Ideas</t>
  </si>
  <si>
    <t>Minor injuries such as cuts, scratches, grazes, bruises can all be on one line - set the risk to the highest value, but they are usually all very similar C &amp; L.</t>
  </si>
  <si>
    <t>Remember: Controls can affect either the Likelihood or the Consequence. eg: wearing a PFD can reduce the consequence of falling in the water because the time under water is likely to be less.</t>
  </si>
  <si>
    <t>If there is a Standard Operating Procedure for the activity (as with many Adventurous Activities) please supply it as a Supporting Doc. Add a note in an empty row in the Risks tab with the name of the doc</t>
  </si>
  <si>
    <t>Email any supporting docs to risk@scoutswa.com.au or your line leader</t>
  </si>
  <si>
    <t>Your controls must have an effect to modify the Consequence and Likelihood values, otherwise why have them?</t>
  </si>
  <si>
    <t>Dos and Don'ts</t>
  </si>
  <si>
    <t>Don't merge or insert cells.</t>
  </si>
  <si>
    <t>Do place any notes in the comments box AFTER the list of risks.</t>
  </si>
  <si>
    <t>Don't leave any blank or empty lines. All risks to be in sequence from .01 onwards.</t>
  </si>
  <si>
    <t>Consequence</t>
  </si>
  <si>
    <t>CONTROLS</t>
  </si>
  <si>
    <t>Insignificant - A</t>
  </si>
  <si>
    <t>Minor - B</t>
  </si>
  <si>
    <t>Moderate - C</t>
  </si>
  <si>
    <t>Major - D</t>
  </si>
  <si>
    <t>Catastrophic - E</t>
  </si>
  <si>
    <t>BEST</t>
  </si>
  <si>
    <t>LIKELIHOOD</t>
  </si>
  <si>
    <t>Very Unlikely - A</t>
  </si>
  <si>
    <t>AA - Risk acceptable</t>
  </si>
  <si>
    <t>AB - Risk acceptable</t>
  </si>
  <si>
    <t>AC - Risk acceptable</t>
  </si>
  <si>
    <t>AD - Review at appropriate times</t>
  </si>
  <si>
    <t>AE - Review at appropriate times</t>
  </si>
  <si>
    <t>Elimination</t>
  </si>
  <si>
    <t>Unlikely - B</t>
  </si>
  <si>
    <t>BA - Risk acceptable</t>
  </si>
  <si>
    <t>BB - Risk acceptable</t>
  </si>
  <si>
    <t>BC - Review at appropriate times</t>
  </si>
  <si>
    <t>BD - Review at appropriate times</t>
  </si>
  <si>
    <t>BE - High priority</t>
  </si>
  <si>
    <t>Substitution</t>
  </si>
  <si>
    <t>Possible - C</t>
  </si>
  <si>
    <t>CA - Risk acceptable</t>
  </si>
  <si>
    <t>CB - Review at appropriate times</t>
  </si>
  <si>
    <t>CC - Review at appropriate times</t>
  </si>
  <si>
    <t>CD - High priority</t>
  </si>
  <si>
    <t>CE - Unacceptable Risk, immediate action required</t>
  </si>
  <si>
    <t>Isolation</t>
  </si>
  <si>
    <t>Likely - D</t>
  </si>
  <si>
    <t>DA - Risk acceptable</t>
  </si>
  <si>
    <t>DB - Review at appropriate times</t>
  </si>
  <si>
    <t>DC - High priority</t>
  </si>
  <si>
    <t>DD - Unacceptable Risk, immediate action required</t>
  </si>
  <si>
    <t>DE - Unacceptable Risk, immediate action required</t>
  </si>
  <si>
    <t>Engineering</t>
  </si>
  <si>
    <t>Very Likely - E</t>
  </si>
  <si>
    <t>EA - Review at appropriate times</t>
  </si>
  <si>
    <t>EB - High priority</t>
  </si>
  <si>
    <t>EC - Unacceptable Risk, immediate action required</t>
  </si>
  <si>
    <t>ED - Unacceptable Risk, immediate action required</t>
  </si>
  <si>
    <t>EE - Unacceptable Risk, immediate action required</t>
  </si>
  <si>
    <t>Administrative</t>
  </si>
  <si>
    <t>PPE</t>
  </si>
  <si>
    <t>ScoutsWA Incident and Severity Table:</t>
  </si>
  <si>
    <t>WORST</t>
  </si>
  <si>
    <t>https://scoutswa.com.au/wp-content/uploads/2023/08/Risk-Matrix_For-Incident-Report-System.pdf</t>
  </si>
  <si>
    <t>Formations Attending</t>
  </si>
  <si>
    <t>Group (Click on the arrow to choose)</t>
  </si>
  <si>
    <t>District</t>
  </si>
  <si>
    <t>Region</t>
  </si>
  <si>
    <t>Add Formations</t>
  </si>
  <si>
    <t>Choose your Group...</t>
  </si>
  <si>
    <t>Sections(s)</t>
  </si>
  <si>
    <t>Joeys</t>
  </si>
  <si>
    <t>R1</t>
  </si>
  <si>
    <t>Cubs</t>
  </si>
  <si>
    <t>Scouts</t>
  </si>
  <si>
    <t>Venturers</t>
  </si>
  <si>
    <t>Rovers</t>
  </si>
  <si>
    <t>Leaders</t>
  </si>
  <si>
    <t>V20230908</t>
  </si>
  <si>
    <t>Activity Details</t>
  </si>
  <si>
    <t>Type of activity</t>
  </si>
  <si>
    <t>Choose the activity...</t>
  </si>
  <si>
    <t>Major outing/Camp/Hike/Sleepover/etc</t>
  </si>
  <si>
    <t>Event name</t>
  </si>
  <si>
    <t>Location</t>
  </si>
  <si>
    <t>Venue Address</t>
  </si>
  <si>
    <t>Commencing on</t>
  </si>
  <si>
    <t>at Time</t>
  </si>
  <si>
    <t>dd/mm/yyyy</t>
  </si>
  <si>
    <t>24 hour time hh:mm or type am/pm</t>
  </si>
  <si>
    <t>Concluding on</t>
  </si>
  <si>
    <t xml:space="preserve">Personnel details - </t>
  </si>
  <si>
    <t>Start with the main organiser, then add others as needed. Each person can have multiple roles</t>
  </si>
  <si>
    <t>Person in charge name</t>
  </si>
  <si>
    <t>Membership No.</t>
  </si>
  <si>
    <t>Appointment</t>
  </si>
  <si>
    <t>Email address</t>
  </si>
  <si>
    <t>Person in charge of event</t>
  </si>
  <si>
    <t>Phone number</t>
  </si>
  <si>
    <t>Add your other roles ----&gt;</t>
  </si>
  <si>
    <t>choose your role…</t>
  </si>
  <si>
    <t>Name</t>
  </si>
  <si>
    <t>Change if needed ----&gt;</t>
  </si>
  <si>
    <t xml:space="preserve"> </t>
  </si>
  <si>
    <t>Extra info about personnel</t>
  </si>
  <si>
    <r>
      <rPr>
        <b/>
        <i/>
        <sz val="18"/>
        <rFont val="Nunito"/>
      </rPr>
      <t xml:space="preserve">Anticipated Number of Attendees </t>
    </r>
    <r>
      <rPr>
        <b/>
        <i/>
        <sz val="10"/>
        <rFont val="Nunito"/>
      </rPr>
      <t>(Note that each attendee will only fit into one category)</t>
    </r>
  </si>
  <si>
    <t>Under 18 Attendees (includes youth helpers)</t>
  </si>
  <si>
    <t>Male</t>
  </si>
  <si>
    <t>Female</t>
  </si>
  <si>
    <t>Another Gender</t>
  </si>
  <si>
    <t>Total</t>
  </si>
  <si>
    <t>18 or over Participants</t>
  </si>
  <si>
    <t>Youth per supervising adult (guidance only)</t>
  </si>
  <si>
    <t>Qualified Leaders</t>
  </si>
  <si>
    <t>Carers</t>
  </si>
  <si>
    <t>Overall</t>
  </si>
  <si>
    <t>Other Supporting Adults</t>
  </si>
  <si>
    <t>Event Risks</t>
  </si>
  <si>
    <t>C = Consequence. L = Likelihood. See Risk matrix below.</t>
  </si>
  <si>
    <t>ANALYSE &amp; ASSESS RISKS</t>
  </si>
  <si>
    <t>MANAGE THE RISKS</t>
  </si>
  <si>
    <t>ID</t>
  </si>
  <si>
    <t>HAZARD (WHAT)</t>
  </si>
  <si>
    <t>INJURY/DANGER (WHO)</t>
  </si>
  <si>
    <t>C</t>
  </si>
  <si>
    <t>L</t>
  </si>
  <si>
    <t>RISK
RATING</t>
  </si>
  <si>
    <t>NEW C</t>
  </si>
  <si>
    <t>NEW L</t>
  </si>
  <si>
    <t>RESIDUAL RISK
RATING</t>
  </si>
  <si>
    <t>eg</t>
  </si>
  <si>
    <t>Tent rope</t>
  </si>
  <si>
    <t>Trip - cuts and grazes</t>
  </si>
  <si>
    <t>B</t>
  </si>
  <si>
    <t>D</t>
  </si>
  <si>
    <t>HIGH</t>
  </si>
  <si>
    <t>Tent ropes set out in expected locations - if not, flagged with warning tape. Remind Scouts to be aware when moving around tents.</t>
  </si>
  <si>
    <t>A</t>
  </si>
  <si>
    <t>LOW</t>
  </si>
  <si>
    <t>Sun - ultra violet radiation</t>
  </si>
  <si>
    <t>Sunburn</t>
  </si>
  <si>
    <t>MEDIUM</t>
  </si>
  <si>
    <t>Slip, slop, slap - use ScoutsWA Sun Smart procedure</t>
  </si>
  <si>
    <t>E.01</t>
  </si>
  <si>
    <t>E.02</t>
  </si>
  <si>
    <t>E.03</t>
  </si>
  <si>
    <t>E.04</t>
  </si>
  <si>
    <t>E.05</t>
  </si>
  <si>
    <t>E.06</t>
  </si>
  <si>
    <t>E.07</t>
  </si>
  <si>
    <t>E.08</t>
  </si>
  <si>
    <t>E.09</t>
  </si>
  <si>
    <t>E.10</t>
  </si>
  <si>
    <t>E.11</t>
  </si>
  <si>
    <t>E.12</t>
  </si>
  <si>
    <t>E.13</t>
  </si>
  <si>
    <t>E.14</t>
  </si>
  <si>
    <t>E.15</t>
  </si>
  <si>
    <t>E.16</t>
  </si>
  <si>
    <t>E.17</t>
  </si>
  <si>
    <t>E.18</t>
  </si>
  <si>
    <t>E.19</t>
  </si>
  <si>
    <t>E.20</t>
  </si>
  <si>
    <t>Highest Residual risk ---&gt;</t>
  </si>
  <si>
    <t>COMMENTS, Insurance info, etc</t>
  </si>
  <si>
    <t>Activity Name</t>
  </si>
  <si>
    <t>Brief description of the activity:</t>
  </si>
  <si>
    <t>wasds</t>
  </si>
  <si>
    <t>Date</t>
  </si>
  <si>
    <t>Highest Residual Risk overall from Event and activities</t>
  </si>
  <si>
    <t>Leader in charge (or Leader responsible, if activity is being run by a youth member)</t>
  </si>
  <si>
    <t>I confirm that all participants including Parents/Guardians of youth participants involved in this activity will be advised in writing of the activity and permission will be obtained before the activity commences.</t>
  </si>
  <si>
    <t>I have reviewed and completed the ‘Risk Management Plan’ (attached) for all aspects of the planned activity and control measures will be implemented prior to the activity commencing.</t>
  </si>
  <si>
    <t>I also confirm that the supervisors of each Adventurous Activity component are either registered as Activity Leaders with the Association and have completed a ‘Risk Management Plan’ or have provided their Public Liability Insurance Certificate of Currency.</t>
  </si>
  <si>
    <t>Signed (if paper form)</t>
  </si>
  <si>
    <t>Membership Number</t>
  </si>
  <si>
    <t>Formation leader</t>
  </si>
  <si>
    <t>I approve the activity and confirm that the Leader responsible will collect permission forms two weeks prior to the commencement of the activity and that a ‘Risk Management Plan’ has been undertaken and that control measures have been identified.</t>
  </si>
  <si>
    <t>District Commissioner / Branch Commissioner</t>
  </si>
  <si>
    <t>I have checked the attached details and approve the ‘Risk Management Plan’ that the Leader Responsible has undertaken for this activity and that control measures have been identified.</t>
  </si>
  <si>
    <t>Regional Chief Commissioner / Deputy Chief Commissioner</t>
  </si>
  <si>
    <t>Locations</t>
  </si>
  <si>
    <t>F5:F153</t>
  </si>
  <si>
    <t>Yes/No</t>
  </si>
  <si>
    <t>C&amp;L #s</t>
  </si>
  <si>
    <t>Sections</t>
  </si>
  <si>
    <t>Roles</t>
  </si>
  <si>
    <t>Scope</t>
  </si>
  <si>
    <t>CL</t>
  </si>
  <si>
    <t>Risk Rating</t>
  </si>
  <si>
    <t>Group</t>
  </si>
  <si>
    <t>Yes</t>
  </si>
  <si>
    <t>AA</t>
  </si>
  <si>
    <t>all Scouts WA</t>
  </si>
  <si>
    <t>Please contact</t>
  </si>
  <si>
    <t>ScoutsWA Events Coordinator for more info.</t>
  </si>
  <si>
    <t>No</t>
  </si>
  <si>
    <t>Event coordinator</t>
  </si>
  <si>
    <t>AB</t>
  </si>
  <si>
    <t>all Perth South region</t>
  </si>
  <si>
    <t>Event 2IC</t>
  </si>
  <si>
    <t>AC</t>
  </si>
  <si>
    <t>all Beeliar District</t>
  </si>
  <si>
    <t>Beeliar District</t>
  </si>
  <si>
    <t>Perth South Region</t>
  </si>
  <si>
    <t>First Aid</t>
  </si>
  <si>
    <t>Branch</t>
  </si>
  <si>
    <t>AD</t>
  </si>
  <si>
    <t>Atwell</t>
  </si>
  <si>
    <t>E</t>
  </si>
  <si>
    <t>Security</t>
  </si>
  <si>
    <t>Interstate</t>
  </si>
  <si>
    <t>AE</t>
  </si>
  <si>
    <t>Bibra Lake</t>
  </si>
  <si>
    <t>Treasurer</t>
  </si>
  <si>
    <t>International</t>
  </si>
  <si>
    <t>BA</t>
  </si>
  <si>
    <t>Fremantle Sea Scouts</t>
  </si>
  <si>
    <t>Registration</t>
  </si>
  <si>
    <t>BB</t>
  </si>
  <si>
    <t>Jervoise Bay</t>
  </si>
  <si>
    <t>Administration</t>
  </si>
  <si>
    <t>BC</t>
  </si>
  <si>
    <t>all Beeloo District</t>
  </si>
  <si>
    <t>Beeloo District</t>
  </si>
  <si>
    <t>Risk Management</t>
  </si>
  <si>
    <t>BD</t>
  </si>
  <si>
    <t>Carlisle</t>
  </si>
  <si>
    <t>Leader in charge</t>
  </si>
  <si>
    <t>BE</t>
  </si>
  <si>
    <t>Salter Point Sea Scouts</t>
  </si>
  <si>
    <t>Activity</t>
  </si>
  <si>
    <t>Risk Level</t>
  </si>
  <si>
    <t>Formation Leader</t>
  </si>
  <si>
    <t>CA</t>
  </si>
  <si>
    <t>Victoria Park</t>
  </si>
  <si>
    <t>Group Leader</t>
  </si>
  <si>
    <t>CB</t>
  </si>
  <si>
    <t>all Canning River District</t>
  </si>
  <si>
    <t>Canning River District</t>
  </si>
  <si>
    <t>Very High</t>
  </si>
  <si>
    <t>District Commissioner</t>
  </si>
  <si>
    <t>CC</t>
  </si>
  <si>
    <t>Canning Sea Scouts</t>
  </si>
  <si>
    <t>Major Event</t>
  </si>
  <si>
    <t>High</t>
  </si>
  <si>
    <t>Service coordinator</t>
  </si>
  <si>
    <t>CD</t>
  </si>
  <si>
    <t>Riverton</t>
  </si>
  <si>
    <t>Major outing</t>
  </si>
  <si>
    <t>Medium</t>
  </si>
  <si>
    <t>Onsite activities</t>
  </si>
  <si>
    <t>CE</t>
  </si>
  <si>
    <t>VERY HIGH</t>
  </si>
  <si>
    <t>Rossmoyne Shelley</t>
  </si>
  <si>
    <t>Camp</t>
  </si>
  <si>
    <t>Low</t>
  </si>
  <si>
    <t>Offsite activities</t>
  </si>
  <si>
    <t>DA</t>
  </si>
  <si>
    <t>Whaleback</t>
  </si>
  <si>
    <t>Hike</t>
  </si>
  <si>
    <t>Adventurous activities</t>
  </si>
  <si>
    <t>DB</t>
  </si>
  <si>
    <t>Willetton</t>
  </si>
  <si>
    <t>Sleepover</t>
  </si>
  <si>
    <t>PR officer</t>
  </si>
  <si>
    <t>DC</t>
  </si>
  <si>
    <t>all Melville District</t>
  </si>
  <si>
    <t>Melville District</t>
  </si>
  <si>
    <t>Other</t>
  </si>
  <si>
    <t>AA Leader</t>
  </si>
  <si>
    <t>DD</t>
  </si>
  <si>
    <t>Attadale</t>
  </si>
  <si>
    <t>Person in charge</t>
  </si>
  <si>
    <t>DE</t>
  </si>
  <si>
    <t>Bateman Winthrop</t>
  </si>
  <si>
    <t>Welfare</t>
  </si>
  <si>
    <t>EA</t>
  </si>
  <si>
    <t>Bullcreek Leeming</t>
  </si>
  <si>
    <t>R1 Highest Residual test</t>
  </si>
  <si>
    <t>R2 Highest Residual</t>
  </si>
  <si>
    <t>R3 Highest Residual</t>
  </si>
  <si>
    <t>Logistics</t>
  </si>
  <si>
    <t>EB</t>
  </si>
  <si>
    <t>Waylen Bay Sea Scouts</t>
  </si>
  <si>
    <t>EC</t>
  </si>
  <si>
    <t>Willagee Kardinya</t>
  </si>
  <si>
    <t>ISTEXT(INDEX($K$9:$K$28, MATCH("ver*", $K$9:$K$28, 0), 1))</t>
  </si>
  <si>
    <t>ED</t>
  </si>
  <si>
    <t>all Minnawarra District</t>
  </si>
  <si>
    <t>Minnawarra District</t>
  </si>
  <si>
    <t>EE</t>
  </si>
  <si>
    <t>Armadale</t>
  </si>
  <si>
    <t>Byford</t>
  </si>
  <si>
    <t>Kelmscott</t>
  </si>
  <si>
    <t>Roleystone</t>
  </si>
  <si>
    <t>Westfield</t>
  </si>
  <si>
    <t>all Osprey District</t>
  </si>
  <si>
    <t>Osprey District</t>
  </si>
  <si>
    <t>Baldivis</t>
  </si>
  <si>
    <t>Kwinana</t>
  </si>
  <si>
    <t>Rockingham</t>
  </si>
  <si>
    <t>Secret Harbour</t>
  </si>
  <si>
    <t>Warnbro Sound</t>
  </si>
  <si>
    <t>all River Ranges District</t>
  </si>
  <si>
    <t>River Ranges District</t>
  </si>
  <si>
    <t>Communicare Academy</t>
  </si>
  <si>
    <t>Liddelow</t>
  </si>
  <si>
    <t>Maddington</t>
  </si>
  <si>
    <t>Southern River</t>
  </si>
  <si>
    <t>all Three Rivers District</t>
  </si>
  <si>
    <t>Three Rivers District</t>
  </si>
  <si>
    <t>Falcon</t>
  </si>
  <si>
    <t>Madora Bay</t>
  </si>
  <si>
    <t>Mandurah</t>
  </si>
  <si>
    <t>Murray WA Sea Scouts</t>
  </si>
  <si>
    <t>Peel District Rover Crew</t>
  </si>
  <si>
    <t>all Perth North Region</t>
  </si>
  <si>
    <t>all Bilgoman District</t>
  </si>
  <si>
    <t>Bilgoman District</t>
  </si>
  <si>
    <t>Perth North Region</t>
  </si>
  <si>
    <t>Darlington</t>
  </si>
  <si>
    <t>Eastern Hills</t>
  </si>
  <si>
    <t>Glen Forrest</t>
  </si>
  <si>
    <t>Mundaring</t>
  </si>
  <si>
    <t>all Central Swan District</t>
  </si>
  <si>
    <t>Central Swan District</t>
  </si>
  <si>
    <t>Bassendean</t>
  </si>
  <si>
    <t>Bayswater Sea Scouts</t>
  </si>
  <si>
    <t>Buddha's Light International Association</t>
  </si>
  <si>
    <t>Central Swan Rover Crew</t>
  </si>
  <si>
    <t>Hampton Park</t>
  </si>
  <si>
    <t>Morley</t>
  </si>
  <si>
    <t>all Joondalup District</t>
  </si>
  <si>
    <t>Joondalup District</t>
  </si>
  <si>
    <t>Beldon</t>
  </si>
  <si>
    <t>Duncraig</t>
  </si>
  <si>
    <t>Goollelal Greenwood</t>
  </si>
  <si>
    <t>Joondalup</t>
  </si>
  <si>
    <t>Kinross</t>
  </si>
  <si>
    <t>Mullaloo Sea Scouts</t>
  </si>
  <si>
    <t>Padbury</t>
  </si>
  <si>
    <t>Warwick</t>
  </si>
  <si>
    <t>Woodvale</t>
  </si>
  <si>
    <t>all Kalamunda District</t>
  </si>
  <si>
    <t>Kalamunda District</t>
  </si>
  <si>
    <t>Kalamunda Rover Crew Group</t>
  </si>
  <si>
    <t>Kalamunda</t>
  </si>
  <si>
    <t>Maida Vale</t>
  </si>
  <si>
    <t>Walliston</t>
  </si>
  <si>
    <t>all Minderup District</t>
  </si>
  <si>
    <t>Minderup District</t>
  </si>
  <si>
    <t>Cambridge</t>
  </si>
  <si>
    <t>Cottesloe</t>
  </si>
  <si>
    <t>Floreat</t>
  </si>
  <si>
    <t>Mosman Bay Sea Scouts</t>
  </si>
  <si>
    <t>Pelican Point Sea Scouts</t>
  </si>
  <si>
    <t>Subiaco</t>
  </si>
  <si>
    <t>all Nookenburra District</t>
  </si>
  <si>
    <t>Nookenburra District</t>
  </si>
  <si>
    <t>Amelia Heights</t>
  </si>
  <si>
    <t>Dianella</t>
  </si>
  <si>
    <t>Hamersley</t>
  </si>
  <si>
    <t>Karrinyup Leave No Trace</t>
  </si>
  <si>
    <t>North Beach</t>
  </si>
  <si>
    <t>Scarborough Beach</t>
  </si>
  <si>
    <t>Tuart Hill Yokine</t>
  </si>
  <si>
    <t>Wembley Downs</t>
  </si>
  <si>
    <t>all Swan Valley District</t>
  </si>
  <si>
    <t>Swan Valley District</t>
  </si>
  <si>
    <t>Ballajura</t>
  </si>
  <si>
    <t>Beechboro West Swan</t>
  </si>
  <si>
    <t>Bullsbrook Air Scouts</t>
  </si>
  <si>
    <t>Ellenbrook</t>
  </si>
  <si>
    <t>Gidgegannup</t>
  </si>
  <si>
    <t>Herne Hill</t>
  </si>
  <si>
    <t>Midland</t>
  </si>
  <si>
    <t>all Wanneroo District</t>
  </si>
  <si>
    <t>Wanneroo District</t>
  </si>
  <si>
    <t>Alkimos **Recess**</t>
  </si>
  <si>
    <t>Butler</t>
  </si>
  <si>
    <t>Carramar</t>
  </si>
  <si>
    <t>Mindarie</t>
  </si>
  <si>
    <t>Two Rocks Yanchep Emergency</t>
  </si>
  <si>
    <t>Wanneroo</t>
  </si>
  <si>
    <t>all Country North Region</t>
  </si>
  <si>
    <t>all Duidgee District</t>
  </si>
  <si>
    <t>Duidgee District</t>
  </si>
  <si>
    <t>Country North Region</t>
  </si>
  <si>
    <t>Chittering</t>
  </si>
  <si>
    <t>Gingin</t>
  </si>
  <si>
    <t>Northam</t>
  </si>
  <si>
    <t>Toodyay **Recess**</t>
  </si>
  <si>
    <t>WA Lones</t>
  </si>
  <si>
    <t>all Kimberley District</t>
  </si>
  <si>
    <t>Kimberley District</t>
  </si>
  <si>
    <t>Broome Sea Scouts **Recess**</t>
  </si>
  <si>
    <t>Kununurra</t>
  </si>
  <si>
    <t>all Midwest District</t>
  </si>
  <si>
    <t>Midwest District</t>
  </si>
  <si>
    <t>Carnarvon **Recess**</t>
  </si>
  <si>
    <t>Five Gums</t>
  </si>
  <si>
    <t>Geraldton</t>
  </si>
  <si>
    <t>Midwest District Rover Crew</t>
  </si>
  <si>
    <t>Woorree</t>
  </si>
  <si>
    <t>all Pilbara District</t>
  </si>
  <si>
    <t>Pilbara District</t>
  </si>
  <si>
    <t>Hedland</t>
  </si>
  <si>
    <t>Karratha</t>
  </si>
  <si>
    <t>Newman</t>
  </si>
  <si>
    <t>all Country South Region</t>
  </si>
  <si>
    <t>all Goldfields District</t>
  </si>
  <si>
    <t>Goldfields District</t>
  </si>
  <si>
    <t>Country South Region</t>
  </si>
  <si>
    <t>Boulder</t>
  </si>
  <si>
    <t>Esperance</t>
  </si>
  <si>
    <t>Kalgoorlie</t>
  </si>
  <si>
    <t>all Southern Forest District</t>
  </si>
  <si>
    <t>Southern Forest District</t>
  </si>
  <si>
    <t>Bridgetown **Recess**</t>
  </si>
  <si>
    <t>Busselton Sea Scouts</t>
  </si>
  <si>
    <t>Cape Naturaliste</t>
  </si>
  <si>
    <t>Donnybrook</t>
  </si>
  <si>
    <t>Manjimup</t>
  </si>
  <si>
    <t>Margaret River</t>
  </si>
  <si>
    <t>all South West Coastal District</t>
  </si>
  <si>
    <t>South West Coastal District</t>
  </si>
  <si>
    <t>Bunbury Sea Scouts</t>
  </si>
  <si>
    <t>Carey Park</t>
  </si>
  <si>
    <t>Collie</t>
  </si>
  <si>
    <t>Leschenault</t>
  </si>
  <si>
    <t>South West Regional Rover Crew</t>
  </si>
  <si>
    <t>all Stirling District</t>
  </si>
  <si>
    <t>Stirling District</t>
  </si>
  <si>
    <t>Albany</t>
  </si>
  <si>
    <t>Denmark</t>
  </si>
  <si>
    <t>Katanning</t>
  </si>
  <si>
    <t>Plantagenet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</si>
</sst>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###\ ###\ ###"/>
    <numFmt numFmtId="166" formatCode="0.0"/>
    <numFmt numFmtId="167" formatCode="#,##0.0"/>
  </numFmts>
  <fonts count="68">
    <font>
      <sz val="6"/>
      <color rgb="FF000000"/>
      <name val="Cambria"/>
    </font>
    <font>
      <b/>
      <i/>
      <sz val="27"/>
      <color rgb="FF000000"/>
      <name val="Nunito"/>
    </font>
    <font>
      <sz val="6"/>
      <name val="Cambria"/>
    </font>
    <font>
      <sz val="12"/>
      <color rgb="FF000000"/>
      <name val="&quot;Calibri Light&quot;"/>
    </font>
    <font>
      <i/>
      <sz val="16"/>
      <color rgb="FF000000"/>
      <name val="Calibri"/>
    </font>
    <font>
      <i/>
      <sz val="16"/>
      <color rgb="FF000000"/>
      <name val="Nunito"/>
    </font>
    <font>
      <sz val="6"/>
      <name val="Calibri"/>
    </font>
    <font>
      <sz val="12"/>
      <color rgb="FF000000"/>
      <name val="Calibri"/>
    </font>
    <font>
      <u/>
      <sz val="14"/>
      <color rgb="FF000000"/>
      <name val="Calibri"/>
    </font>
    <font>
      <sz val="14"/>
      <color rgb="FF000000"/>
      <name val="Calibri"/>
    </font>
    <font>
      <sz val="9"/>
      <color rgb="FF000000"/>
      <name val="Calibri"/>
    </font>
    <font>
      <sz val="12"/>
      <name val="Calibri"/>
    </font>
    <font>
      <i/>
      <u/>
      <sz val="16"/>
      <color rgb="FF1155CC"/>
      <name val="Calibri"/>
    </font>
    <font>
      <sz val="6"/>
      <color rgb="FF000000"/>
      <name val="Calibri"/>
    </font>
    <font>
      <sz val="14"/>
      <name val="Cambria"/>
    </font>
    <font>
      <sz val="14"/>
      <name val="Calibri"/>
    </font>
    <font>
      <b/>
      <u/>
      <sz val="14"/>
      <color rgb="FF000000"/>
      <name val="Calibri"/>
    </font>
    <font>
      <b/>
      <sz val="14"/>
      <color rgb="FF000000"/>
      <name val="Calibri"/>
    </font>
    <font>
      <i/>
      <sz val="14"/>
      <color rgb="FF000000"/>
      <name val="Calibri"/>
    </font>
    <font>
      <sz val="23"/>
      <color rgb="FF000000"/>
      <name val="Calibri"/>
    </font>
    <font>
      <sz val="16"/>
      <name val="Calibri"/>
    </font>
    <font>
      <u/>
      <sz val="16"/>
      <color rgb="FF1155CC"/>
      <name val="Calibri"/>
    </font>
    <font>
      <sz val="12"/>
      <color rgb="FF000000"/>
      <name val="Cambria"/>
    </font>
    <font>
      <b/>
      <i/>
      <sz val="28"/>
      <color rgb="FF000000"/>
      <name val="Nunito"/>
    </font>
    <font>
      <b/>
      <i/>
      <sz val="24"/>
      <color rgb="FF000000"/>
      <name val="Nunito"/>
    </font>
    <font>
      <b/>
      <i/>
      <sz val="24"/>
      <color rgb="FF000000"/>
      <name val="Cambria"/>
    </font>
    <font>
      <i/>
      <sz val="12"/>
      <name val="Nunito"/>
    </font>
    <font>
      <b/>
      <i/>
      <sz val="18"/>
      <color rgb="FF000000"/>
      <name val="Nunito"/>
    </font>
    <font>
      <b/>
      <i/>
      <sz val="36"/>
      <color rgb="FF000000"/>
      <name val="Cambria"/>
    </font>
    <font>
      <b/>
      <i/>
      <sz val="12"/>
      <color rgb="FF000000"/>
      <name val="Calibri"/>
    </font>
    <font>
      <b/>
      <sz val="12"/>
      <color rgb="FF000000"/>
      <name val="Calibri"/>
    </font>
    <font>
      <b/>
      <i/>
      <sz val="64"/>
      <color rgb="FF000000"/>
      <name val="Nunito"/>
    </font>
    <font>
      <b/>
      <sz val="12"/>
      <color rgb="FF000000"/>
      <name val="Cambria"/>
    </font>
    <font>
      <b/>
      <i/>
      <sz val="16"/>
      <color rgb="FF000000"/>
      <name val="Nunito"/>
    </font>
    <font>
      <sz val="16"/>
      <color rgb="FF000000"/>
      <name val="Cambria"/>
    </font>
    <font>
      <sz val="16"/>
      <color rgb="FF000000"/>
      <name val="Calibri"/>
    </font>
    <font>
      <sz val="10"/>
      <color rgb="FF000000"/>
      <name val="Calibri"/>
    </font>
    <font>
      <sz val="6"/>
      <color rgb="FFD9EAD3"/>
      <name val="Calibri"/>
    </font>
    <font>
      <i/>
      <sz val="12"/>
      <color rgb="FF000000"/>
      <name val="Nunito"/>
    </font>
    <font>
      <b/>
      <i/>
      <sz val="14"/>
      <color rgb="FF000000"/>
      <name val="Calibri"/>
    </font>
    <font>
      <u/>
      <sz val="12"/>
      <color rgb="FF0000FF"/>
      <name val="Calibri"/>
    </font>
    <font>
      <sz val="10"/>
      <color rgb="FF000000"/>
      <name val="Cambria"/>
    </font>
    <font>
      <sz val="8"/>
      <color rgb="FF000000"/>
      <name val="Cambria"/>
    </font>
    <font>
      <sz val="6"/>
      <color rgb="FFFFFFFF"/>
      <name val="Cambria"/>
    </font>
    <font>
      <b/>
      <i/>
      <sz val="18"/>
      <name val="Nunito"/>
    </font>
    <font>
      <b/>
      <sz val="12"/>
      <name val="Calibri"/>
    </font>
    <font>
      <b/>
      <i/>
      <sz val="14"/>
      <name val="Calibri"/>
    </font>
    <font>
      <sz val="14"/>
      <color rgb="FFEAD1DC"/>
      <name val="Calibri"/>
    </font>
    <font>
      <b/>
      <i/>
      <sz val="28"/>
      <name val="Nunito"/>
    </font>
    <font>
      <sz val="24"/>
      <name val="Calibri"/>
    </font>
    <font>
      <sz val="9"/>
      <name val="Arial"/>
    </font>
    <font>
      <b/>
      <sz val="12"/>
      <color rgb="FF000000"/>
      <name val="Arial"/>
    </font>
    <font>
      <sz val="12"/>
      <color rgb="FFFFFFFF"/>
      <name val="Calibri"/>
    </font>
    <font>
      <b/>
      <sz val="12"/>
      <color rgb="FFFFFFFF"/>
      <name val="Calibri"/>
    </font>
    <font>
      <sz val="14"/>
      <color rgb="FF1F497D"/>
      <name val="Calibri"/>
    </font>
    <font>
      <sz val="18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sz val="12"/>
      <color rgb="FFF3F3F3"/>
      <name val="Calibri"/>
    </font>
    <font>
      <b/>
      <sz val="14"/>
      <name val="Calibri"/>
    </font>
    <font>
      <u/>
      <sz val="14"/>
      <color rgb="FF1155CC"/>
      <name val="Calibri"/>
    </font>
    <font>
      <b/>
      <i/>
      <sz val="10"/>
      <name val="Nunito"/>
    </font>
    <font>
      <sz val="9"/>
      <color indexed="81"/>
      <name val="Tahoma"/>
      <charset val="1"/>
    </font>
    <font>
      <sz val="12"/>
      <color rgb="FF000000"/>
      <name val="Cambria"/>
      <family val="1"/>
    </font>
    <font>
      <sz val="12"/>
      <color rgb="FF000000"/>
      <name val="Arial"/>
      <family val="2"/>
    </font>
    <font>
      <b/>
      <sz val="28"/>
      <color rgb="FF000000"/>
      <name val="Calibri"/>
      <scheme val="minor"/>
    </font>
    <font>
      <u/>
      <sz val="6"/>
      <color theme="10"/>
      <name val="Cambria"/>
    </font>
    <font>
      <u/>
      <sz val="14"/>
      <color theme="10"/>
      <name val="Calibri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BFBFBF"/>
        <bgColor rgb="FFBFBFBF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rgb="FFB7DEE8"/>
        <bgColor rgb="FFB7DEE8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3300"/>
        <bgColor rgb="FFFF33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</fills>
  <borders count="9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FF9900"/>
      </right>
      <top/>
      <bottom/>
      <diagonal/>
    </border>
    <border>
      <left style="thin">
        <color rgb="FFFF9900"/>
      </left>
      <right style="thin">
        <color rgb="FFFF9900"/>
      </right>
      <top/>
      <bottom/>
      <diagonal/>
    </border>
    <border>
      <left style="thin">
        <color rgb="FFFF99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F9900"/>
      </right>
      <top/>
      <bottom style="medium">
        <color rgb="FF000000"/>
      </bottom>
      <diagonal/>
    </border>
    <border>
      <left style="thin">
        <color rgb="FFFF9900"/>
      </left>
      <right style="thin">
        <color rgb="FFFF9900"/>
      </right>
      <top/>
      <bottom style="medium">
        <color rgb="FF000000"/>
      </bottom>
      <diagonal/>
    </border>
    <border>
      <left style="thin">
        <color rgb="FFFF99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rgb="FF6AA84F"/>
      </left>
      <right/>
      <top style="thin">
        <color rgb="FF6AA84F"/>
      </top>
      <bottom/>
      <diagonal/>
    </border>
    <border>
      <left/>
      <right/>
      <top style="thin">
        <color rgb="FF6AA84F"/>
      </top>
      <bottom/>
      <diagonal/>
    </border>
    <border>
      <left/>
      <right style="thin">
        <color rgb="FF6AA84F"/>
      </right>
      <top style="thin">
        <color rgb="FF6AA84F"/>
      </top>
      <bottom/>
      <diagonal/>
    </border>
    <border>
      <left style="thin">
        <color rgb="FF6AA84F"/>
      </left>
      <right/>
      <top/>
      <bottom/>
      <diagonal/>
    </border>
    <border>
      <left/>
      <right style="thin">
        <color rgb="FF6AA84F"/>
      </right>
      <top/>
      <bottom/>
      <diagonal/>
    </border>
    <border>
      <left style="thin">
        <color rgb="FF000000"/>
      </left>
      <right style="thin">
        <color rgb="FF6AA84F"/>
      </right>
      <top style="thin">
        <color rgb="FF000000"/>
      </top>
      <bottom/>
      <diagonal/>
    </border>
    <border>
      <left style="thin">
        <color rgb="FF000000"/>
      </left>
      <right style="thin">
        <color rgb="FF6AA84F"/>
      </right>
      <top/>
      <bottom/>
      <diagonal/>
    </border>
    <border>
      <left style="thin">
        <color rgb="FF6AA84F"/>
      </left>
      <right/>
      <top/>
      <bottom style="thin">
        <color rgb="FF6AA84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AA84F"/>
      </bottom>
      <diagonal/>
    </border>
    <border>
      <left style="thin">
        <color rgb="FF000000"/>
      </left>
      <right style="thin">
        <color rgb="FF6AA84F"/>
      </right>
      <top/>
      <bottom style="thin">
        <color rgb="FF6AA84F"/>
      </bottom>
      <diagonal/>
    </border>
    <border>
      <left style="thin">
        <color rgb="FFF6B26B"/>
      </left>
      <right/>
      <top style="thin">
        <color rgb="FFF6B26B"/>
      </top>
      <bottom/>
      <diagonal/>
    </border>
    <border>
      <left/>
      <right/>
      <top style="thin">
        <color rgb="FFF6B26B"/>
      </top>
      <bottom/>
      <diagonal/>
    </border>
    <border>
      <left/>
      <right style="thin">
        <color rgb="FFF6B26B"/>
      </right>
      <top style="thin">
        <color rgb="FFF6B26B"/>
      </top>
      <bottom/>
      <diagonal/>
    </border>
    <border>
      <left style="thin">
        <color rgb="FFF6B26B"/>
      </left>
      <right/>
      <top/>
      <bottom/>
      <diagonal/>
    </border>
    <border>
      <left/>
      <right style="thin">
        <color rgb="FFF6B26B"/>
      </right>
      <top/>
      <bottom/>
      <diagonal/>
    </border>
    <border>
      <left style="thin">
        <color rgb="FF000000"/>
      </left>
      <right style="thin">
        <color rgb="FFF6B26B"/>
      </right>
      <top style="thin">
        <color rgb="FF000000"/>
      </top>
      <bottom/>
      <diagonal/>
    </border>
    <border>
      <left style="thin">
        <color rgb="FF000000"/>
      </left>
      <right style="thin">
        <color rgb="FFF6B26B"/>
      </right>
      <top/>
      <bottom/>
      <diagonal/>
    </border>
    <border>
      <left style="thin">
        <color rgb="FFF6B26B"/>
      </left>
      <right/>
      <top/>
      <bottom style="thin">
        <color rgb="FFF6B26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B26B"/>
      </bottom>
      <diagonal/>
    </border>
    <border>
      <left style="thin">
        <color rgb="FF000000"/>
      </left>
      <right style="thin">
        <color rgb="FFF6B26B"/>
      </right>
      <top/>
      <bottom style="thin">
        <color rgb="FFF6B26B"/>
      </bottom>
      <diagonal/>
    </border>
    <border>
      <left style="thin">
        <color rgb="FFA64D79"/>
      </left>
      <right/>
      <top style="thin">
        <color rgb="FFA64D79"/>
      </top>
      <bottom/>
      <diagonal/>
    </border>
    <border>
      <left/>
      <right/>
      <top style="thin">
        <color rgb="FFA64D79"/>
      </top>
      <bottom/>
      <diagonal/>
    </border>
    <border>
      <left/>
      <right style="thin">
        <color rgb="FFA64D79"/>
      </right>
      <top style="thin">
        <color rgb="FFA64D79"/>
      </top>
      <bottom/>
      <diagonal/>
    </border>
    <border>
      <left style="thin">
        <color rgb="FFA64D79"/>
      </left>
      <right/>
      <top/>
      <bottom/>
      <diagonal/>
    </border>
    <border>
      <left/>
      <right style="thin">
        <color rgb="FFA64D79"/>
      </right>
      <top/>
      <bottom/>
      <diagonal/>
    </border>
    <border>
      <left style="thin">
        <color rgb="FF000000"/>
      </left>
      <right style="thin">
        <color rgb="FFA64D79"/>
      </right>
      <top style="thin">
        <color rgb="FF000000"/>
      </top>
      <bottom/>
      <diagonal/>
    </border>
    <border>
      <left style="thin">
        <color rgb="FF000000"/>
      </left>
      <right style="thin">
        <color rgb="FFA64D79"/>
      </right>
      <top/>
      <bottom/>
      <diagonal/>
    </border>
    <border>
      <left style="thin">
        <color rgb="FFA64D79"/>
      </left>
      <right/>
      <top/>
      <bottom style="thin">
        <color rgb="FFA64D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64D79"/>
      </bottom>
      <diagonal/>
    </border>
    <border>
      <left style="thin">
        <color rgb="FF000000"/>
      </left>
      <right style="thin">
        <color rgb="FFA64D79"/>
      </right>
      <top/>
      <bottom style="thin">
        <color rgb="FFA64D79"/>
      </bottom>
      <diagonal/>
    </border>
    <border>
      <left style="thin">
        <color rgb="FFFF0000"/>
      </left>
      <right/>
      <top style="thin">
        <color rgb="FFFF0000"/>
      </top>
      <bottom style="thick">
        <color rgb="FF000000"/>
      </bottom>
      <diagonal/>
    </border>
    <border>
      <left/>
      <right/>
      <top style="thin">
        <color rgb="FFFF0000"/>
      </top>
      <bottom style="thick">
        <color rgb="FF000000"/>
      </bottom>
      <diagonal/>
    </border>
    <border>
      <left/>
      <right style="thick">
        <color rgb="FF000000"/>
      </right>
      <top style="thin">
        <color rgb="FFFF0000"/>
      </top>
      <bottom style="thick">
        <color rgb="FF000000"/>
      </bottom>
      <diagonal/>
    </border>
    <border>
      <left style="thick">
        <color rgb="FF000000"/>
      </left>
      <right/>
      <top style="thin">
        <color rgb="FFFF0000"/>
      </top>
      <bottom style="thick">
        <color rgb="FF000000"/>
      </bottom>
      <diagonal/>
    </border>
    <border>
      <left/>
      <right style="thin">
        <color rgb="FFFF0000"/>
      </right>
      <top style="thin">
        <color rgb="FFFF0000"/>
      </top>
      <bottom style="thick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/>
      <right/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/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000000"/>
      </top>
      <bottom style="thin">
        <color rgb="FFFF0000"/>
      </bottom>
      <diagonal/>
    </border>
  </borders>
  <cellStyleXfs count="2">
    <xf numFmtId="0" fontId="0" fillId="0" borderId="0"/>
    <xf numFmtId="0" fontId="66" fillId="0" borderId="0" applyNumberFormat="0" applyFill="0" applyBorder="0" applyAlignment="0" applyProtection="0"/>
  </cellStyleXfs>
  <cellXfs count="373">
    <xf numFmtId="0" fontId="0" fillId="0" borderId="0" xfId="0"/>
    <xf numFmtId="0" fontId="2" fillId="4" borderId="0" xfId="0" applyFont="1" applyFill="1"/>
    <xf numFmtId="0" fontId="3" fillId="4" borderId="0" xfId="0" applyFont="1" applyFill="1" applyAlignment="1">
      <alignment vertical="center" wrapText="1"/>
    </xf>
    <xf numFmtId="0" fontId="5" fillId="4" borderId="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10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11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/>
    </xf>
    <xf numFmtId="0" fontId="6" fillId="5" borderId="12" xfId="0" applyFont="1" applyFill="1" applyBorder="1"/>
    <xf numFmtId="0" fontId="6" fillId="5" borderId="13" xfId="0" applyFont="1" applyFill="1" applyBorder="1"/>
    <xf numFmtId="0" fontId="6" fillId="5" borderId="14" xfId="0" applyFont="1" applyFill="1" applyBorder="1"/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right" vertical="top" wrapText="1"/>
    </xf>
    <xf numFmtId="0" fontId="7" fillId="5" borderId="0" xfId="0" applyFont="1" applyFill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wrapText="1"/>
    </xf>
    <xf numFmtId="0" fontId="7" fillId="5" borderId="13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horizontal="right" vertical="top" wrapText="1"/>
    </xf>
    <xf numFmtId="0" fontId="7" fillId="3" borderId="0" xfId="0" applyFont="1" applyFill="1"/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15" fillId="0" borderId="0" xfId="0" applyFont="1"/>
    <xf numFmtId="0" fontId="17" fillId="2" borderId="0" xfId="0" applyFont="1" applyFill="1" applyAlignment="1">
      <alignment horizontal="right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1" borderId="17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vertical="center"/>
    </xf>
    <xf numFmtId="0" fontId="15" fillId="9" borderId="5" xfId="0" applyFont="1" applyFill="1" applyBorder="1" applyAlignment="1">
      <alignment vertical="center"/>
    </xf>
    <xf numFmtId="0" fontId="17" fillId="12" borderId="17" xfId="0" applyFont="1" applyFill="1" applyBorder="1" applyAlignment="1">
      <alignment horizontal="center" vertical="center" wrapText="1"/>
    </xf>
    <xf numFmtId="0" fontId="17" fillId="13" borderId="17" xfId="0" applyFont="1" applyFill="1" applyBorder="1" applyAlignment="1">
      <alignment horizontal="center" vertical="center" wrapText="1"/>
    </xf>
    <xf numFmtId="0" fontId="17" fillId="14" borderId="17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right"/>
    </xf>
    <xf numFmtId="0" fontId="7" fillId="16" borderId="0" xfId="0" applyFont="1" applyFill="1" applyAlignment="1">
      <alignment horizontal="right"/>
    </xf>
    <xf numFmtId="0" fontId="7" fillId="2" borderId="0" xfId="0" applyFont="1" applyFill="1"/>
    <xf numFmtId="0" fontId="7" fillId="16" borderId="0" xfId="0" applyFont="1" applyFill="1"/>
    <xf numFmtId="0" fontId="22" fillId="3" borderId="0" xfId="0" applyFont="1" applyFill="1"/>
    <xf numFmtId="0" fontId="22" fillId="17" borderId="27" xfId="0" applyFont="1" applyFill="1" applyBorder="1"/>
    <xf numFmtId="0" fontId="34" fillId="18" borderId="0" xfId="0" applyFont="1" applyFill="1"/>
    <xf numFmtId="0" fontId="22" fillId="18" borderId="0" xfId="0" applyFont="1" applyFill="1"/>
    <xf numFmtId="0" fontId="7" fillId="18" borderId="0" xfId="0" applyFont="1" applyFill="1"/>
    <xf numFmtId="0" fontId="30" fillId="18" borderId="28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30" fillId="18" borderId="0" xfId="0" applyFont="1" applyFill="1" applyAlignment="1">
      <alignment horizontal="left"/>
    </xf>
    <xf numFmtId="0" fontId="7" fillId="2" borderId="17" xfId="0" applyFont="1" applyFill="1" applyBorder="1" applyAlignment="1">
      <alignment wrapText="1"/>
    </xf>
    <xf numFmtId="0" fontId="7" fillId="18" borderId="0" xfId="0" applyFont="1" applyFill="1" applyAlignment="1">
      <alignment vertical="center"/>
    </xf>
    <xf numFmtId="0" fontId="30" fillId="18" borderId="0" xfId="0" applyFont="1" applyFill="1" applyAlignment="1">
      <alignment horizontal="right"/>
    </xf>
    <xf numFmtId="0" fontId="7" fillId="2" borderId="17" xfId="0" applyFont="1" applyFill="1" applyBorder="1"/>
    <xf numFmtId="164" fontId="7" fillId="18" borderId="0" xfId="0" applyNumberFormat="1" applyFont="1" applyFill="1"/>
    <xf numFmtId="0" fontId="30" fillId="18" borderId="0" xfId="0" applyFont="1" applyFill="1"/>
    <xf numFmtId="20" fontId="7" fillId="18" borderId="0" xfId="0" applyNumberFormat="1" applyFont="1" applyFill="1"/>
    <xf numFmtId="0" fontId="22" fillId="19" borderId="27" xfId="0" applyFont="1" applyFill="1" applyBorder="1"/>
    <xf numFmtId="0" fontId="39" fillId="20" borderId="0" xfId="0" applyFont="1" applyFill="1"/>
    <xf numFmtId="0" fontId="35" fillId="2" borderId="17" xfId="0" applyFont="1" applyFill="1" applyBorder="1" applyAlignment="1">
      <alignment horizontal="center"/>
    </xf>
    <xf numFmtId="0" fontId="40" fillId="2" borderId="17" xfId="0" applyFont="1" applyFill="1" applyBorder="1"/>
    <xf numFmtId="0" fontId="30" fillId="20" borderId="24" xfId="0" applyFont="1" applyFill="1" applyBorder="1"/>
    <xf numFmtId="0" fontId="7" fillId="20" borderId="26" xfId="0" applyFont="1" applyFill="1" applyBorder="1" applyAlignment="1">
      <alignment horizontal="center"/>
    </xf>
    <xf numFmtId="0" fontId="30" fillId="20" borderId="0" xfId="0" applyFont="1" applyFill="1"/>
    <xf numFmtId="0" fontId="7" fillId="20" borderId="0" xfId="0" applyFont="1" applyFill="1" applyAlignment="1">
      <alignment horizontal="center"/>
    </xf>
    <xf numFmtId="165" fontId="7" fillId="2" borderId="17" xfId="0" applyNumberFormat="1" applyFont="1" applyFill="1" applyBorder="1"/>
    <xf numFmtId="0" fontId="7" fillId="20" borderId="0" xfId="0" applyFont="1" applyFill="1"/>
    <xf numFmtId="0" fontId="13" fillId="20" borderId="0" xfId="0" applyFont="1" applyFill="1"/>
    <xf numFmtId="0" fontId="13" fillId="20" borderId="0" xfId="0" applyFont="1" applyFill="1" applyAlignment="1">
      <alignment horizontal="center"/>
    </xf>
    <xf numFmtId="0" fontId="41" fillId="20" borderId="29" xfId="0" applyFont="1" applyFill="1" applyBorder="1"/>
    <xf numFmtId="0" fontId="44" fillId="21" borderId="30" xfId="0" applyFont="1" applyFill="1" applyBorder="1"/>
    <xf numFmtId="0" fontId="44" fillId="21" borderId="31" xfId="0" applyFont="1" applyFill="1" applyBorder="1"/>
    <xf numFmtId="0" fontId="44" fillId="21" borderId="32" xfId="0" applyFont="1" applyFill="1" applyBorder="1"/>
    <xf numFmtId="1" fontId="11" fillId="2" borderId="17" xfId="0" applyNumberFormat="1" applyFont="1" applyFill="1" applyBorder="1" applyAlignment="1">
      <alignment horizontal="left"/>
    </xf>
    <xf numFmtId="1" fontId="11" fillId="22" borderId="33" xfId="0" applyNumberFormat="1" applyFont="1" applyFill="1" applyBorder="1" applyAlignment="1">
      <alignment horizontal="left"/>
    </xf>
    <xf numFmtId="0" fontId="46" fillId="22" borderId="0" xfId="0" applyFont="1" applyFill="1"/>
    <xf numFmtId="0" fontId="47" fillId="22" borderId="0" xfId="0" applyFont="1" applyFill="1" applyAlignment="1">
      <alignment horizontal="center"/>
    </xf>
    <xf numFmtId="0" fontId="15" fillId="22" borderId="0" xfId="0" applyFont="1" applyFill="1" applyAlignment="1">
      <alignment horizontal="right"/>
    </xf>
    <xf numFmtId="0" fontId="15" fillId="22" borderId="0" xfId="0" applyFont="1" applyFill="1"/>
    <xf numFmtId="0" fontId="2" fillId="3" borderId="0" xfId="0" applyFont="1" applyFill="1"/>
    <xf numFmtId="0" fontId="0" fillId="3" borderId="0" xfId="0" applyFill="1"/>
    <xf numFmtId="0" fontId="11" fillId="3" borderId="0" xfId="0" applyFont="1" applyFill="1"/>
    <xf numFmtId="0" fontId="48" fillId="3" borderId="0" xfId="0" applyFont="1" applyFill="1"/>
    <xf numFmtId="0" fontId="11" fillId="3" borderId="0" xfId="0" applyFont="1" applyFill="1" applyAlignment="1">
      <alignment wrapText="1"/>
    </xf>
    <xf numFmtId="0" fontId="15" fillId="3" borderId="37" xfId="0" applyFont="1" applyFill="1" applyBorder="1" applyAlignment="1">
      <alignment horizontal="left" vertical="center"/>
    </xf>
    <xf numFmtId="0" fontId="49" fillId="3" borderId="37" xfId="0" applyFont="1" applyFill="1" applyBorder="1" applyAlignment="1">
      <alignment wrapText="1"/>
    </xf>
    <xf numFmtId="0" fontId="15" fillId="3" borderId="38" xfId="0" applyFont="1" applyFill="1" applyBorder="1" applyAlignment="1">
      <alignment horizontal="left" vertical="center"/>
    </xf>
    <xf numFmtId="14" fontId="49" fillId="3" borderId="38" xfId="0" applyNumberFormat="1" applyFont="1" applyFill="1" applyBorder="1" applyAlignment="1">
      <alignment horizontal="left" wrapText="1"/>
    </xf>
    <xf numFmtId="0" fontId="15" fillId="3" borderId="38" xfId="0" applyFont="1" applyFill="1" applyBorder="1" applyAlignment="1">
      <alignment horizontal="center" wrapText="1"/>
    </xf>
    <xf numFmtId="0" fontId="50" fillId="3" borderId="0" xfId="0" applyFont="1" applyFill="1" applyAlignment="1">
      <alignment vertical="top" wrapText="1"/>
    </xf>
    <xf numFmtId="0" fontId="11" fillId="18" borderId="42" xfId="0" applyFont="1" applyFill="1" applyBorder="1" applyAlignment="1">
      <alignment horizontal="right"/>
    </xf>
    <xf numFmtId="0" fontId="11" fillId="2" borderId="17" xfId="0" applyFont="1" applyFill="1" applyBorder="1" applyAlignment="1">
      <alignment horizontal="left" wrapText="1"/>
    </xf>
    <xf numFmtId="0" fontId="11" fillId="18" borderId="46" xfId="0" applyFont="1" applyFill="1" applyBorder="1" applyAlignment="1">
      <alignment horizontal="right"/>
    </xf>
    <xf numFmtId="0" fontId="11" fillId="2" borderId="47" xfId="0" applyFont="1" applyFill="1" applyBorder="1" applyAlignment="1">
      <alignment horizontal="left" wrapText="1"/>
    </xf>
    <xf numFmtId="0" fontId="44" fillId="23" borderId="51" xfId="0" applyFont="1" applyFill="1" applyBorder="1"/>
    <xf numFmtId="0" fontId="11" fillId="5" borderId="52" xfId="0" applyFont="1" applyFill="1" applyBorder="1" applyAlignment="1">
      <alignment horizontal="right"/>
    </xf>
    <xf numFmtId="0" fontId="11" fillId="5" borderId="56" xfId="0" applyFont="1" applyFill="1" applyBorder="1" applyAlignment="1">
      <alignment horizontal="right"/>
    </xf>
    <xf numFmtId="0" fontId="11" fillId="2" borderId="57" xfId="0" applyFont="1" applyFill="1" applyBorder="1" applyAlignment="1">
      <alignment horizontal="left" wrapText="1"/>
    </xf>
    <xf numFmtId="0" fontId="11" fillId="16" borderId="52" xfId="0" applyFont="1" applyFill="1" applyBorder="1" applyAlignment="1">
      <alignment horizontal="right"/>
    </xf>
    <xf numFmtId="0" fontId="11" fillId="16" borderId="56" xfId="0" applyFont="1" applyFill="1" applyBorder="1" applyAlignment="1">
      <alignment horizontal="right"/>
    </xf>
    <xf numFmtId="0" fontId="44" fillId="21" borderId="61" xfId="0" applyFont="1" applyFill="1" applyBorder="1"/>
    <xf numFmtId="0" fontId="11" fillId="22" borderId="62" xfId="0" applyFont="1" applyFill="1" applyBorder="1" applyAlignment="1">
      <alignment horizontal="right"/>
    </xf>
    <xf numFmtId="0" fontId="11" fillId="22" borderId="66" xfId="0" applyFont="1" applyFill="1" applyBorder="1" applyAlignment="1">
      <alignment horizontal="right"/>
    </xf>
    <xf numFmtId="0" fontId="11" fillId="2" borderId="67" xfId="0" applyFont="1" applyFill="1" applyBorder="1" applyAlignment="1">
      <alignment horizontal="left" wrapText="1"/>
    </xf>
    <xf numFmtId="0" fontId="51" fillId="3" borderId="0" xfId="0" applyFont="1" applyFill="1"/>
    <xf numFmtId="0" fontId="30" fillId="3" borderId="0" xfId="0" applyFont="1" applyFill="1"/>
    <xf numFmtId="0" fontId="30" fillId="3" borderId="0" xfId="0" applyFont="1" applyFill="1" applyAlignment="1">
      <alignment vertical="center"/>
    </xf>
    <xf numFmtId="0" fontId="30" fillId="3" borderId="0" xfId="0" applyFont="1" applyFill="1" applyAlignment="1">
      <alignment horizontal="left"/>
    </xf>
    <xf numFmtId="164" fontId="52" fillId="3" borderId="0" xfId="0" applyNumberFormat="1" applyFont="1" applyFill="1" applyAlignment="1">
      <alignment horizontal="center" vertical="center"/>
    </xf>
    <xf numFmtId="0" fontId="52" fillId="3" borderId="0" xfId="0" applyFont="1" applyFill="1"/>
    <xf numFmtId="164" fontId="52" fillId="3" borderId="0" xfId="0" applyNumberFormat="1" applyFont="1" applyFill="1"/>
    <xf numFmtId="0" fontId="53" fillId="3" borderId="0" xfId="0" applyFont="1" applyFill="1"/>
    <xf numFmtId="0" fontId="30" fillId="21" borderId="74" xfId="0" applyFont="1" applyFill="1" applyBorder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0" fillId="21" borderId="20" xfId="0" applyFont="1" applyFill="1" applyBorder="1" applyAlignment="1">
      <alignment horizontal="center" vertical="center"/>
    </xf>
    <xf numFmtId="0" fontId="30" fillId="21" borderId="75" xfId="0" applyFont="1" applyFill="1" applyBorder="1" applyAlignment="1">
      <alignment horizontal="center" vertical="center"/>
    </xf>
    <xf numFmtId="0" fontId="30" fillId="21" borderId="19" xfId="0" applyFont="1" applyFill="1" applyBorder="1" applyAlignment="1">
      <alignment horizontal="center" vertical="center"/>
    </xf>
    <xf numFmtId="0" fontId="30" fillId="21" borderId="76" xfId="0" applyFont="1" applyFill="1" applyBorder="1" applyAlignment="1">
      <alignment horizontal="center" vertical="center" wrapText="1"/>
    </xf>
    <xf numFmtId="0" fontId="30" fillId="21" borderId="19" xfId="0" applyFont="1" applyFill="1" applyBorder="1" applyAlignment="1">
      <alignment horizontal="center" vertical="center" wrapText="1"/>
    </xf>
    <xf numFmtId="0" fontId="30" fillId="21" borderId="77" xfId="0" applyFont="1" applyFill="1" applyBorder="1" applyAlignment="1">
      <alignment horizontal="center" vertical="center" wrapText="1"/>
    </xf>
    <xf numFmtId="2" fontId="54" fillId="22" borderId="78" xfId="0" applyNumberFormat="1" applyFont="1" applyFill="1" applyBorder="1" applyAlignment="1">
      <alignment horizontal="center" vertical="center" wrapText="1" readingOrder="1"/>
    </xf>
    <xf numFmtId="49" fontId="7" fillId="22" borderId="17" xfId="0" applyNumberFormat="1" applyFont="1" applyFill="1" applyBorder="1" applyAlignment="1">
      <alignment horizontal="left" vertical="center" wrapText="1"/>
    </xf>
    <xf numFmtId="0" fontId="7" fillId="22" borderId="17" xfId="0" applyFont="1" applyFill="1" applyBorder="1" applyAlignment="1">
      <alignment horizontal="left" vertical="center" wrapText="1" readingOrder="1"/>
    </xf>
    <xf numFmtId="0" fontId="55" fillId="22" borderId="17" xfId="0" applyFont="1" applyFill="1" applyBorder="1" applyAlignment="1">
      <alignment horizontal="center" vertical="center" wrapText="1" readingOrder="1"/>
    </xf>
    <xf numFmtId="3" fontId="56" fillId="22" borderId="79" xfId="0" applyNumberFormat="1" applyFont="1" applyFill="1" applyBorder="1" applyAlignment="1">
      <alignment horizontal="center" vertical="center" wrapText="1" readingOrder="1"/>
    </xf>
    <xf numFmtId="3" fontId="55" fillId="22" borderId="80" xfId="0" applyNumberFormat="1" applyFont="1" applyFill="1" applyBorder="1" applyAlignment="1">
      <alignment horizontal="center" vertical="center" wrapText="1" readingOrder="1"/>
    </xf>
    <xf numFmtId="2" fontId="54" fillId="22" borderId="81" xfId="0" applyNumberFormat="1" applyFont="1" applyFill="1" applyBorder="1" applyAlignment="1">
      <alignment horizontal="center" vertical="center" wrapText="1" readingOrder="1"/>
    </xf>
    <xf numFmtId="49" fontId="7" fillId="0" borderId="17" xfId="0" applyNumberFormat="1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55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49" fontId="7" fillId="0" borderId="20" xfId="0" applyNumberFormat="1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55" fillId="0" borderId="26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49" fontId="7" fillId="2" borderId="20" xfId="0" applyNumberFormat="1" applyFont="1" applyFill="1" applyBorder="1"/>
    <xf numFmtId="0" fontId="7" fillId="2" borderId="26" xfId="0" applyFont="1" applyFill="1" applyBorder="1"/>
    <xf numFmtId="0" fontId="7" fillId="2" borderId="20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2" fontId="54" fillId="22" borderId="82" xfId="0" applyNumberFormat="1" applyFont="1" applyFill="1" applyBorder="1" applyAlignment="1">
      <alignment horizontal="center" vertical="center" wrapText="1" readingOrder="1"/>
    </xf>
    <xf numFmtId="49" fontId="7" fillId="0" borderId="17" xfId="0" applyNumberFormat="1" applyFont="1" applyBorder="1" applyAlignment="1">
      <alignment horizontal="left" vertical="center" wrapText="1" readingOrder="1"/>
    </xf>
    <xf numFmtId="0" fontId="7" fillId="0" borderId="17" xfId="0" applyFont="1" applyBorder="1" applyAlignment="1">
      <alignment horizontal="left" vertical="center" wrapText="1" readingOrder="1"/>
    </xf>
    <xf numFmtId="0" fontId="55" fillId="0" borderId="17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left" vertical="center" wrapText="1" readingOrder="1"/>
    </xf>
    <xf numFmtId="0" fontId="55" fillId="0" borderId="18" xfId="0" applyFont="1" applyBorder="1" applyAlignment="1">
      <alignment horizontal="center" vertical="center" wrapText="1" readingOrder="1"/>
    </xf>
    <xf numFmtId="0" fontId="55" fillId="22" borderId="85" xfId="0" applyFont="1" applyFill="1" applyBorder="1" applyAlignment="1">
      <alignment horizontal="right" vertical="center"/>
    </xf>
    <xf numFmtId="0" fontId="57" fillId="22" borderId="86" xfId="0" applyFont="1" applyFill="1" applyBorder="1" applyAlignment="1">
      <alignment horizontal="center" vertical="center"/>
    </xf>
    <xf numFmtId="0" fontId="6" fillId="3" borderId="0" xfId="0" applyFont="1" applyFill="1"/>
    <xf numFmtId="0" fontId="58" fillId="3" borderId="0" xfId="0" applyFont="1" applyFill="1"/>
    <xf numFmtId="0" fontId="59" fillId="3" borderId="0" xfId="0" applyFont="1" applyFill="1" applyAlignment="1">
      <alignment horizontal="left" vertical="center"/>
    </xf>
    <xf numFmtId="3" fontId="55" fillId="22" borderId="79" xfId="0" applyNumberFormat="1" applyFont="1" applyFill="1" applyBorder="1" applyAlignment="1">
      <alignment horizontal="center" vertical="center" wrapText="1" readingOrder="1"/>
    </xf>
    <xf numFmtId="0" fontId="7" fillId="0" borderId="17" xfId="0" applyFont="1" applyBorder="1"/>
    <xf numFmtId="2" fontId="54" fillId="22" borderId="92" xfId="0" applyNumberFormat="1" applyFont="1" applyFill="1" applyBorder="1" applyAlignment="1">
      <alignment horizontal="center" vertical="center" wrapText="1" readingOrder="1"/>
    </xf>
    <xf numFmtId="0" fontId="7" fillId="0" borderId="0" xfId="0" applyFont="1"/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9" fillId="0" borderId="0" xfId="0" applyFont="1"/>
    <xf numFmtId="0" fontId="11" fillId="0" borderId="0" xfId="0" applyFont="1"/>
    <xf numFmtId="0" fontId="17" fillId="0" borderId="0" xfId="0" applyFont="1"/>
    <xf numFmtId="0" fontId="35" fillId="0" borderId="0" xfId="0" applyFont="1"/>
    <xf numFmtId="0" fontId="7" fillId="2" borderId="0" xfId="0" applyFont="1" applyFill="1" applyAlignment="1">
      <alignment horizontal="left"/>
    </xf>
    <xf numFmtId="0" fontId="22" fillId="3" borderId="33" xfId="0" applyFont="1" applyFill="1" applyBorder="1"/>
    <xf numFmtId="0" fontId="23" fillId="3" borderId="33" xfId="0" applyFont="1" applyFill="1" applyBorder="1" applyAlignment="1">
      <alignment vertical="top"/>
    </xf>
    <xf numFmtId="0" fontId="24" fillId="3" borderId="33" xfId="0" applyFont="1" applyFill="1" applyBorder="1" applyAlignment="1">
      <alignment vertical="top" wrapText="1"/>
    </xf>
    <xf numFmtId="0" fontId="25" fillId="3" borderId="33" xfId="0" applyFont="1" applyFill="1" applyBorder="1" applyAlignment="1">
      <alignment vertical="top" wrapText="1"/>
    </xf>
    <xf numFmtId="0" fontId="27" fillId="15" borderId="87" xfId="0" applyFont="1" applyFill="1" applyBorder="1" applyAlignment="1">
      <alignment horizontal="left"/>
    </xf>
    <xf numFmtId="0" fontId="25" fillId="15" borderId="27" xfId="0" applyFont="1" applyFill="1" applyBorder="1" applyAlignment="1">
      <alignment vertical="top" wrapText="1"/>
    </xf>
    <xf numFmtId="0" fontId="28" fillId="15" borderId="88" xfId="0" applyFont="1" applyFill="1" applyBorder="1" applyAlignment="1">
      <alignment vertical="top"/>
    </xf>
    <xf numFmtId="0" fontId="29" fillId="16" borderId="28" xfId="0" applyFont="1" applyFill="1" applyBorder="1" applyAlignment="1">
      <alignment horizontal="left"/>
    </xf>
    <xf numFmtId="0" fontId="29" fillId="16" borderId="33" xfId="0" applyFont="1" applyFill="1" applyBorder="1" applyAlignment="1">
      <alignment horizontal="left" wrapText="1"/>
    </xf>
    <xf numFmtId="0" fontId="28" fillId="16" borderId="34" xfId="0" applyFont="1" applyFill="1" applyBorder="1" applyAlignment="1">
      <alignment vertical="top"/>
    </xf>
    <xf numFmtId="0" fontId="30" fillId="16" borderId="28" xfId="0" applyFont="1" applyFill="1" applyBorder="1"/>
    <xf numFmtId="0" fontId="9" fillId="16" borderId="79" xfId="0" applyFont="1" applyFill="1" applyBorder="1"/>
    <xf numFmtId="0" fontId="22" fillId="16" borderId="34" xfId="0" applyFont="1" applyFill="1" applyBorder="1"/>
    <xf numFmtId="0" fontId="7" fillId="16" borderId="33" xfId="0" applyFont="1" applyFill="1" applyBorder="1" applyAlignment="1">
      <alignment horizontal="left"/>
    </xf>
    <xf numFmtId="0" fontId="22" fillId="16" borderId="34" xfId="0" applyFont="1" applyFill="1" applyBorder="1" applyAlignment="1">
      <alignment horizontal="left"/>
    </xf>
    <xf numFmtId="0" fontId="7" fillId="16" borderId="33" xfId="0" applyFont="1" applyFill="1" applyBorder="1"/>
    <xf numFmtId="0" fontId="64" fillId="16" borderId="34" xfId="0" applyFont="1" applyFill="1" applyBorder="1" applyAlignment="1">
      <alignment horizontal="center"/>
    </xf>
    <xf numFmtId="0" fontId="32" fillId="16" borderId="29" xfId="0" applyFont="1" applyFill="1" applyBorder="1"/>
    <xf numFmtId="0" fontId="22" fillId="16" borderId="35" xfId="0" applyFont="1" applyFill="1" applyBorder="1" applyAlignment="1">
      <alignment horizontal="right"/>
    </xf>
    <xf numFmtId="0" fontId="22" fillId="16" borderId="35" xfId="0" applyFont="1" applyFill="1" applyBorder="1"/>
    <xf numFmtId="0" fontId="31" fillId="16" borderId="36" xfId="0" applyFont="1" applyFill="1" applyBorder="1" applyAlignment="1">
      <alignment horizontal="center"/>
    </xf>
    <xf numFmtId="0" fontId="33" fillId="3" borderId="33" xfId="0" applyFont="1" applyFill="1" applyBorder="1"/>
    <xf numFmtId="0" fontId="27" fillId="17" borderId="87" xfId="0" applyFont="1" applyFill="1" applyBorder="1"/>
    <xf numFmtId="0" fontId="22" fillId="17" borderId="88" xfId="0" applyFont="1" applyFill="1" applyBorder="1"/>
    <xf numFmtId="0" fontId="32" fillId="18" borderId="28" xfId="0" applyFont="1" applyFill="1" applyBorder="1"/>
    <xf numFmtId="0" fontId="22" fillId="18" borderId="34" xfId="0" applyFont="1" applyFill="1" applyBorder="1"/>
    <xf numFmtId="0" fontId="7" fillId="18" borderId="34" xfId="0" applyFont="1" applyFill="1" applyBorder="1"/>
    <xf numFmtId="0" fontId="36" fillId="18" borderId="28" xfId="0" applyFont="1" applyFill="1" applyBorder="1"/>
    <xf numFmtId="0" fontId="7" fillId="18" borderId="33" xfId="0" applyFont="1" applyFill="1" applyBorder="1"/>
    <xf numFmtId="0" fontId="30" fillId="18" borderId="33" xfId="0" applyFont="1" applyFill="1" applyBorder="1" applyAlignment="1">
      <alignment horizontal="right"/>
    </xf>
    <xf numFmtId="0" fontId="7" fillId="18" borderId="33" xfId="0" applyFont="1" applyFill="1" applyBorder="1" applyAlignment="1">
      <alignment horizontal="left"/>
    </xf>
    <xf numFmtId="0" fontId="7" fillId="18" borderId="34" xfId="0" applyFont="1" applyFill="1" applyBorder="1" applyAlignment="1">
      <alignment horizontal="left"/>
    </xf>
    <xf numFmtId="0" fontId="9" fillId="18" borderId="33" xfId="0" applyFont="1" applyFill="1" applyBorder="1"/>
    <xf numFmtId="0" fontId="6" fillId="18" borderId="0" xfId="0" applyFont="1" applyFill="1"/>
    <xf numFmtId="0" fontId="7" fillId="18" borderId="34" xfId="0" applyFont="1" applyFill="1" applyBorder="1" applyAlignment="1">
      <alignment wrapText="1"/>
    </xf>
    <xf numFmtId="0" fontId="7" fillId="18" borderId="33" xfId="0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right" vertical="center"/>
    </xf>
    <xf numFmtId="0" fontId="37" fillId="18" borderId="33" xfId="0" applyFont="1" applyFill="1" applyBorder="1" applyAlignment="1">
      <alignment horizontal="center"/>
    </xf>
    <xf numFmtId="0" fontId="30" fillId="18" borderId="33" xfId="0" applyFont="1" applyFill="1" applyBorder="1"/>
    <xf numFmtId="0" fontId="2" fillId="3" borderId="34" xfId="0" applyFont="1" applyFill="1" applyBorder="1"/>
    <xf numFmtId="0" fontId="6" fillId="18" borderId="33" xfId="0" applyFont="1" applyFill="1" applyBorder="1"/>
    <xf numFmtId="14" fontId="6" fillId="18" borderId="33" xfId="0" applyNumberFormat="1" applyFont="1" applyFill="1" applyBorder="1"/>
    <xf numFmtId="12" fontId="6" fillId="18" borderId="33" xfId="0" applyNumberFormat="1" applyFont="1" applyFill="1" applyBorder="1"/>
    <xf numFmtId="0" fontId="6" fillId="18" borderId="34" xfId="0" applyFont="1" applyFill="1" applyBorder="1"/>
    <xf numFmtId="0" fontId="30" fillId="18" borderId="29" xfId="0" applyFont="1" applyFill="1" applyBorder="1"/>
    <xf numFmtId="164" fontId="7" fillId="18" borderId="35" xfId="0" applyNumberFormat="1" applyFont="1" applyFill="1" applyBorder="1"/>
    <xf numFmtId="0" fontId="30" fillId="18" borderId="35" xfId="0" applyFont="1" applyFill="1" applyBorder="1"/>
    <xf numFmtId="14" fontId="30" fillId="18" borderId="35" xfId="0" applyNumberFormat="1" applyFont="1" applyFill="1" applyBorder="1"/>
    <xf numFmtId="20" fontId="7" fillId="18" borderId="35" xfId="0" applyNumberFormat="1" applyFont="1" applyFill="1" applyBorder="1"/>
    <xf numFmtId="0" fontId="7" fillId="18" borderId="35" xfId="0" applyFont="1" applyFill="1" applyBorder="1"/>
    <xf numFmtId="0" fontId="7" fillId="18" borderId="36" xfId="0" applyFont="1" applyFill="1" applyBorder="1"/>
    <xf numFmtId="0" fontId="33" fillId="3" borderId="33" xfId="0" applyFont="1" applyFill="1" applyBorder="1" applyAlignment="1">
      <alignment horizontal="left"/>
    </xf>
    <xf numFmtId="0" fontId="27" fillId="19" borderId="87" xfId="0" applyFont="1" applyFill="1" applyBorder="1" applyAlignment="1">
      <alignment horizontal="left"/>
    </xf>
    <xf numFmtId="0" fontId="38" fillId="19" borderId="27" xfId="0" applyFont="1" applyFill="1" applyBorder="1" applyAlignment="1">
      <alignment vertical="center"/>
    </xf>
    <xf numFmtId="0" fontId="22" fillId="19" borderId="88" xfId="0" applyFont="1" applyFill="1" applyBorder="1"/>
    <xf numFmtId="0" fontId="39" fillId="20" borderId="28" xfId="0" applyFont="1" applyFill="1" applyBorder="1"/>
    <xf numFmtId="0" fontId="6" fillId="20" borderId="34" xfId="0" applyFont="1" applyFill="1" applyBorder="1"/>
    <xf numFmtId="0" fontId="30" fillId="20" borderId="28" xfId="0" applyFont="1" applyFill="1" applyBorder="1" applyAlignment="1">
      <alignment horizontal="right"/>
    </xf>
    <xf numFmtId="0" fontId="35" fillId="2" borderId="79" xfId="0" applyFont="1" applyFill="1" applyBorder="1" applyAlignment="1">
      <alignment horizontal="center"/>
    </xf>
    <xf numFmtId="0" fontId="6" fillId="20" borderId="0" xfId="0" applyFont="1" applyFill="1"/>
    <xf numFmtId="0" fontId="7" fillId="20" borderId="34" xfId="0" applyFont="1" applyFill="1" applyBorder="1"/>
    <xf numFmtId="0" fontId="7" fillId="20" borderId="33" xfId="0" applyFont="1" applyFill="1" applyBorder="1"/>
    <xf numFmtId="0" fontId="13" fillId="20" borderId="28" xfId="0" applyFont="1" applyFill="1" applyBorder="1" applyAlignment="1">
      <alignment horizontal="right"/>
    </xf>
    <xf numFmtId="0" fontId="13" fillId="20" borderId="28" xfId="0" applyFont="1" applyFill="1" applyBorder="1"/>
    <xf numFmtId="0" fontId="13" fillId="20" borderId="33" xfId="0" applyFont="1" applyFill="1" applyBorder="1"/>
    <xf numFmtId="0" fontId="13" fillId="20" borderId="33" xfId="0" applyFont="1" applyFill="1" applyBorder="1" applyAlignment="1">
      <alignment horizontal="center"/>
    </xf>
    <xf numFmtId="0" fontId="13" fillId="20" borderId="34" xfId="0" applyFont="1" applyFill="1" applyBorder="1"/>
    <xf numFmtId="0" fontId="30" fillId="20" borderId="28" xfId="0" applyFont="1" applyFill="1" applyBorder="1" applyAlignment="1">
      <alignment vertical="top"/>
    </xf>
    <xf numFmtId="0" fontId="0" fillId="20" borderId="35" xfId="0" applyFill="1" applyBorder="1"/>
    <xf numFmtId="0" fontId="0" fillId="20" borderId="35" xfId="0" applyFill="1" applyBorder="1" applyAlignment="1">
      <alignment horizontal="center"/>
    </xf>
    <xf numFmtId="0" fontId="0" fillId="20" borderId="36" xfId="0" applyFill="1" applyBorder="1"/>
    <xf numFmtId="0" fontId="42" fillId="3" borderId="33" xfId="0" applyFont="1" applyFill="1" applyBorder="1" applyAlignment="1">
      <alignment horizontal="center" vertical="top"/>
    </xf>
    <xf numFmtId="0" fontId="0" fillId="3" borderId="33" xfId="0" applyFill="1" applyBorder="1"/>
    <xf numFmtId="0" fontId="0" fillId="3" borderId="33" xfId="0" applyFill="1" applyBorder="1" applyAlignment="1">
      <alignment horizontal="center"/>
    </xf>
    <xf numFmtId="0" fontId="43" fillId="3" borderId="33" xfId="0" applyFont="1" applyFill="1" applyBorder="1" applyAlignment="1">
      <alignment horizontal="center"/>
    </xf>
    <xf numFmtId="0" fontId="7" fillId="3" borderId="33" xfId="0" applyFont="1" applyFill="1" applyBorder="1"/>
    <xf numFmtId="0" fontId="6" fillId="22" borderId="28" xfId="0" applyFont="1" applyFill="1" applyBorder="1"/>
    <xf numFmtId="0" fontId="6" fillId="22" borderId="33" xfId="0" applyFont="1" applyFill="1" applyBorder="1"/>
    <xf numFmtId="0" fontId="6" fillId="22" borderId="0" xfId="0" applyFont="1" applyFill="1"/>
    <xf numFmtId="166" fontId="6" fillId="22" borderId="0" xfId="0" applyNumberFormat="1" applyFont="1" applyFill="1"/>
    <xf numFmtId="0" fontId="6" fillId="22" borderId="34" xfId="0" applyFont="1" applyFill="1" applyBorder="1"/>
    <xf numFmtId="0" fontId="45" fillId="22" borderId="28" xfId="0" applyFont="1" applyFill="1" applyBorder="1"/>
    <xf numFmtId="1" fontId="6" fillId="22" borderId="33" xfId="0" applyNumberFormat="1" applyFont="1" applyFill="1" applyBorder="1"/>
    <xf numFmtId="0" fontId="11" fillId="22" borderId="28" xfId="0" applyFont="1" applyFill="1" applyBorder="1" applyAlignment="1">
      <alignment horizontal="right"/>
    </xf>
    <xf numFmtId="1" fontId="6" fillId="22" borderId="33" xfId="0" applyNumberFormat="1" applyFont="1" applyFill="1" applyBorder="1" applyAlignment="1">
      <alignment horizontal="left"/>
    </xf>
    <xf numFmtId="167" fontId="6" fillId="22" borderId="0" xfId="0" applyNumberFormat="1" applyFont="1" applyFill="1"/>
    <xf numFmtId="167" fontId="6" fillId="22" borderId="33" xfId="0" applyNumberFormat="1" applyFont="1" applyFill="1" applyBorder="1" applyAlignment="1">
      <alignment horizontal="center"/>
    </xf>
    <xf numFmtId="0" fontId="6" fillId="22" borderId="33" xfId="0" applyFont="1" applyFill="1" applyBorder="1" applyAlignment="1">
      <alignment horizontal="center"/>
    </xf>
    <xf numFmtId="0" fontId="6" fillId="22" borderId="29" xfId="0" applyFont="1" applyFill="1" applyBorder="1"/>
    <xf numFmtId="166" fontId="6" fillId="22" borderId="35" xfId="0" applyNumberFormat="1" applyFont="1" applyFill="1" applyBorder="1"/>
    <xf numFmtId="0" fontId="6" fillId="22" borderId="35" xfId="0" applyFont="1" applyFill="1" applyBorder="1"/>
    <xf numFmtId="0" fontId="6" fillId="22" borderId="36" xfId="0" applyFont="1" applyFill="1" applyBorder="1"/>
    <xf numFmtId="49" fontId="7" fillId="0" borderId="79" xfId="0" applyNumberFormat="1" applyFont="1" applyBorder="1" applyAlignment="1">
      <alignment horizontal="left" vertical="center" wrapText="1"/>
    </xf>
    <xf numFmtId="0" fontId="7" fillId="0" borderId="79" xfId="0" applyFont="1" applyBorder="1" applyAlignment="1">
      <alignment horizontal="left" vertical="center" wrapText="1" readingOrder="1"/>
    </xf>
    <xf numFmtId="0" fontId="55" fillId="0" borderId="79" xfId="0" applyFont="1" applyBorder="1" applyAlignment="1">
      <alignment horizontal="center" vertical="center" wrapText="1" readingOrder="1"/>
    </xf>
    <xf numFmtId="0" fontId="7" fillId="0" borderId="79" xfId="0" applyFont="1" applyBorder="1" applyAlignment="1">
      <alignment horizontal="left" vertical="center" wrapText="1"/>
    </xf>
    <xf numFmtId="49" fontId="7" fillId="0" borderId="79" xfId="0" applyNumberFormat="1" applyFont="1" applyBorder="1" applyAlignment="1">
      <alignment horizontal="left" vertical="center" wrapText="1" readingOrder="1"/>
    </xf>
    <xf numFmtId="0" fontId="30" fillId="3" borderId="33" xfId="0" applyFont="1" applyFill="1" applyBorder="1"/>
    <xf numFmtId="0" fontId="6" fillId="0" borderId="0" xfId="0" applyFont="1"/>
    <xf numFmtId="0" fontId="67" fillId="5" borderId="13" xfId="1" applyFont="1" applyFill="1" applyBorder="1" applyAlignment="1">
      <alignment wrapText="1"/>
    </xf>
    <xf numFmtId="167" fontId="11" fillId="0" borderId="33" xfId="0" applyNumberFormat="1" applyFont="1" applyBorder="1" applyAlignment="1">
      <alignment horizontal="center"/>
    </xf>
    <xf numFmtId="0" fontId="13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0" fillId="0" borderId="0" xfId="0"/>
    <xf numFmtId="0" fontId="1" fillId="4" borderId="0" xfId="0" applyFont="1" applyFill="1"/>
    <xf numFmtId="0" fontId="8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/>
    <xf numFmtId="0" fontId="9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4" borderId="1" xfId="0" applyFont="1" applyFill="1" applyBorder="1" applyAlignment="1">
      <alignment wrapText="1"/>
    </xf>
    <xf numFmtId="0" fontId="2" fillId="2" borderId="2" xfId="0" applyFont="1" applyFill="1" applyBorder="1"/>
    <xf numFmtId="0" fontId="7" fillId="2" borderId="0" xfId="0" applyFont="1" applyFill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2" fillId="5" borderId="13" xfId="0" applyFont="1" applyFill="1" applyBorder="1"/>
    <xf numFmtId="0" fontId="2" fillId="5" borderId="2" xfId="0" applyFont="1" applyFill="1" applyBorder="1"/>
    <xf numFmtId="0" fontId="7" fillId="5" borderId="0" xfId="0" applyFont="1" applyFill="1" applyAlignment="1">
      <alignment vertical="center" wrapText="1"/>
    </xf>
    <xf numFmtId="0" fontId="2" fillId="4" borderId="2" xfId="0" applyFont="1" applyFill="1" applyBorder="1"/>
    <xf numFmtId="0" fontId="21" fillId="5" borderId="24" xfId="0" applyFont="1" applyFill="1" applyBorder="1"/>
    <xf numFmtId="0" fontId="2" fillId="0" borderId="25" xfId="0" applyFont="1" applyBorder="1"/>
    <xf numFmtId="0" fontId="2" fillId="0" borderId="26" xfId="0" applyFont="1" applyBorder="1"/>
    <xf numFmtId="0" fontId="17" fillId="6" borderId="79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9" fillId="7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8" fillId="9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7" fillId="6" borderId="18" xfId="0" applyFont="1" applyFill="1" applyBorder="1" applyAlignment="1">
      <alignment horizontal="center" vertical="center" textRotation="90" wrapText="1"/>
    </xf>
    <xf numFmtId="0" fontId="2" fillId="0" borderId="19" xfId="0" applyFont="1" applyBorder="1"/>
    <xf numFmtId="0" fontId="2" fillId="0" borderId="20" xfId="0" applyFont="1" applyBorder="1"/>
    <xf numFmtId="0" fontId="20" fillId="5" borderId="21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18" fillId="9" borderId="1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2" fillId="2" borderId="33" xfId="0" applyFont="1" applyFill="1" applyBorder="1"/>
    <xf numFmtId="0" fontId="2" fillId="0" borderId="33" xfId="0" applyFont="1" applyBorder="1"/>
    <xf numFmtId="0" fontId="29" fillId="16" borderId="0" xfId="0" applyFont="1" applyFill="1" applyAlignment="1">
      <alignment horizontal="left" wrapText="1"/>
    </xf>
    <xf numFmtId="0" fontId="9" fillId="2" borderId="79" xfId="0" applyFont="1" applyFill="1" applyBorder="1"/>
    <xf numFmtId="0" fontId="9" fillId="16" borderId="79" xfId="0" applyFont="1" applyFill="1" applyBorder="1"/>
    <xf numFmtId="0" fontId="31" fillId="16" borderId="34" xfId="0" applyFont="1" applyFill="1" applyBorder="1" applyAlignment="1">
      <alignment horizontal="center"/>
    </xf>
    <xf numFmtId="0" fontId="2" fillId="0" borderId="34" xfId="0" applyFont="1" applyBorder="1"/>
    <xf numFmtId="0" fontId="7" fillId="2" borderId="15" xfId="0" applyFont="1" applyFill="1" applyBorder="1" applyAlignment="1">
      <alignment horizontal="left"/>
    </xf>
    <xf numFmtId="0" fontId="35" fillId="2" borderId="79" xfId="0" applyFont="1" applyFill="1" applyBorder="1"/>
    <xf numFmtId="0" fontId="35" fillId="2" borderId="79" xfId="0" applyFont="1" applyFill="1" applyBorder="1" applyAlignment="1">
      <alignment horizontal="left"/>
    </xf>
    <xf numFmtId="0" fontId="7" fillId="2" borderId="79" xfId="0" applyFont="1" applyFill="1" applyBorder="1" applyAlignment="1">
      <alignment horizontal="left"/>
    </xf>
    <xf numFmtId="0" fontId="30" fillId="2" borderId="24" xfId="0" applyFont="1" applyFill="1" applyBorder="1"/>
    <xf numFmtId="164" fontId="17" fillId="18" borderId="33" xfId="0" applyNumberFormat="1" applyFont="1" applyFill="1" applyBorder="1" applyAlignment="1">
      <alignment horizontal="left"/>
    </xf>
    <xf numFmtId="0" fontId="36" fillId="2" borderId="79" xfId="0" applyFont="1" applyFill="1" applyBorder="1" applyAlignment="1">
      <alignment vertical="top"/>
    </xf>
    <xf numFmtId="0" fontId="15" fillId="22" borderId="33" xfId="0" applyFont="1" applyFill="1" applyBorder="1" applyAlignment="1">
      <alignment vertical="top" wrapText="1"/>
    </xf>
    <xf numFmtId="0" fontId="21" fillId="3" borderId="0" xfId="0" applyFont="1" applyFill="1" applyAlignment="1">
      <alignment horizontal="center" vertical="center" wrapText="1"/>
    </xf>
    <xf numFmtId="0" fontId="7" fillId="0" borderId="87" xfId="0" applyFont="1" applyBorder="1"/>
    <xf numFmtId="0" fontId="2" fillId="0" borderId="27" xfId="0" applyFont="1" applyBorder="1"/>
    <xf numFmtId="0" fontId="2" fillId="0" borderId="88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5" xfId="0" applyFont="1" applyBorder="1"/>
    <xf numFmtId="0" fontId="2" fillId="0" borderId="36" xfId="0" applyFont="1" applyBorder="1"/>
    <xf numFmtId="0" fontId="17" fillId="21" borderId="69" xfId="0" applyFont="1" applyFill="1" applyBorder="1" applyAlignment="1">
      <alignment horizontal="center" vertical="center"/>
    </xf>
    <xf numFmtId="0" fontId="2" fillId="0" borderId="70" xfId="0" applyFont="1" applyBorder="1"/>
    <xf numFmtId="0" fontId="2" fillId="0" borderId="71" xfId="0" applyFont="1" applyBorder="1"/>
    <xf numFmtId="0" fontId="17" fillId="21" borderId="72" xfId="0" applyFont="1" applyFill="1" applyBorder="1" applyAlignment="1">
      <alignment horizontal="center" vertical="center"/>
    </xf>
    <xf numFmtId="0" fontId="2" fillId="0" borderId="73" xfId="0" applyFont="1" applyBorder="1"/>
    <xf numFmtId="0" fontId="55" fillId="22" borderId="83" xfId="0" applyFont="1" applyFill="1" applyBorder="1" applyAlignment="1">
      <alignment horizontal="right" vertical="center"/>
    </xf>
    <xf numFmtId="0" fontId="2" fillId="0" borderId="84" xfId="0" applyFont="1" applyBorder="1"/>
    <xf numFmtId="0" fontId="65" fillId="2" borderId="33" xfId="0" applyFont="1" applyFill="1" applyBorder="1" applyAlignment="1">
      <alignment horizontal="right" vertical="center"/>
    </xf>
    <xf numFmtId="0" fontId="22" fillId="2" borderId="0" xfId="0" applyFont="1" applyFill="1"/>
    <xf numFmtId="0" fontId="9" fillId="2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30" fillId="3" borderId="0" xfId="0" applyFont="1" applyFill="1" applyAlignment="1">
      <alignment horizontal="left" vertical="center" wrapText="1"/>
    </xf>
    <xf numFmtId="0" fontId="30" fillId="2" borderId="89" xfId="0" applyFont="1" applyFill="1" applyBorder="1" applyAlignment="1">
      <alignment horizontal="left" wrapText="1"/>
    </xf>
    <xf numFmtId="0" fontId="11" fillId="2" borderId="44" xfId="0" applyFont="1" applyFill="1" applyBorder="1" applyAlignment="1">
      <alignment horizontal="left" vertical="top" wrapText="1"/>
    </xf>
    <xf numFmtId="0" fontId="2" fillId="0" borderId="45" xfId="0" applyFont="1" applyBorder="1"/>
    <xf numFmtId="0" fontId="2" fillId="0" borderId="48" xfId="0" applyFont="1" applyBorder="1"/>
    <xf numFmtId="0" fontId="11" fillId="2" borderId="54" xfId="0" applyFont="1" applyFill="1" applyBorder="1" applyAlignment="1">
      <alignment horizontal="left" vertical="top" wrapText="1"/>
    </xf>
    <xf numFmtId="0" fontId="2" fillId="0" borderId="55" xfId="0" applyFont="1" applyBorder="1"/>
    <xf numFmtId="0" fontId="2" fillId="0" borderId="58" xfId="0" applyFont="1" applyBorder="1"/>
    <xf numFmtId="0" fontId="11" fillId="2" borderId="18" xfId="0" applyFont="1" applyFill="1" applyBorder="1" applyAlignment="1">
      <alignment horizontal="left" vertical="top" wrapText="1"/>
    </xf>
    <xf numFmtId="0" fontId="11" fillId="2" borderId="64" xfId="0" applyFont="1" applyFill="1" applyBorder="1" applyAlignment="1">
      <alignment horizontal="left" vertical="top" wrapText="1"/>
    </xf>
    <xf numFmtId="0" fontId="2" fillId="0" borderId="65" xfId="0" applyFont="1" applyBorder="1"/>
    <xf numFmtId="0" fontId="2" fillId="0" borderId="68" xfId="0" applyFont="1" applyBorder="1"/>
    <xf numFmtId="0" fontId="44" fillId="15" borderId="49" xfId="0" applyFont="1" applyFill="1" applyBorder="1"/>
    <xf numFmtId="0" fontId="2" fillId="0" borderId="50" xfId="0" applyFont="1" applyBorder="1"/>
    <xf numFmtId="0" fontId="2" fillId="0" borderId="51" xfId="0" applyFont="1" applyBorder="1"/>
    <xf numFmtId="0" fontId="7" fillId="16" borderId="52" xfId="0" applyFont="1" applyFill="1" applyBorder="1" applyAlignment="1">
      <alignment vertical="center" wrapText="1"/>
    </xf>
    <xf numFmtId="0" fontId="2" fillId="0" borderId="53" xfId="0" applyFont="1" applyBorder="1"/>
    <xf numFmtId="0" fontId="44" fillId="21" borderId="59" xfId="0" applyFont="1" applyFill="1" applyBorder="1"/>
    <xf numFmtId="0" fontId="2" fillId="0" borderId="60" xfId="0" applyFont="1" applyBorder="1"/>
    <xf numFmtId="0" fontId="11" fillId="22" borderId="62" xfId="0" applyFont="1" applyFill="1" applyBorder="1" applyAlignment="1">
      <alignment vertical="center" wrapText="1"/>
    </xf>
    <xf numFmtId="0" fontId="2" fillId="0" borderId="63" xfId="0" applyFont="1" applyBorder="1"/>
    <xf numFmtId="0" fontId="44" fillId="23" borderId="49" xfId="0" applyFont="1" applyFill="1" applyBorder="1"/>
    <xf numFmtId="0" fontId="7" fillId="5" borderId="52" xfId="0" applyFont="1" applyFill="1" applyBorder="1" applyAlignment="1">
      <alignment wrapText="1"/>
    </xf>
    <xf numFmtId="0" fontId="11" fillId="2" borderId="0" xfId="0" applyFont="1" applyFill="1"/>
    <xf numFmtId="0" fontId="44" fillId="17" borderId="39" xfId="0" applyFont="1" applyFill="1" applyBorder="1"/>
    <xf numFmtId="0" fontId="2" fillId="0" borderId="40" xfId="0" applyFont="1" applyBorder="1"/>
    <xf numFmtId="0" fontId="2" fillId="0" borderId="41" xfId="0" applyFont="1" applyBorder="1"/>
    <xf numFmtId="0" fontId="7" fillId="18" borderId="42" xfId="0" applyFont="1" applyFill="1" applyBorder="1" applyAlignment="1">
      <alignment wrapText="1"/>
    </xf>
    <xf numFmtId="0" fontId="2" fillId="0" borderId="43" xfId="0" applyFont="1" applyBorder="1"/>
    <xf numFmtId="0" fontId="7" fillId="18" borderId="42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C200"/>
          <bgColor rgb="FF00C2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C200"/>
          <bgColor rgb="FF00C2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C200"/>
          <bgColor rgb="FF00C2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44400" cy="1323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44400" cy="1323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96825" cy="1381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96825" cy="138112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9</xdr:row>
          <xdr:rowOff>114300</xdr:rowOff>
        </xdr:from>
        <xdr:to>
          <xdr:col>3</xdr:col>
          <xdr:colOff>327660</xdr:colOff>
          <xdr:row>11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10</xdr:row>
          <xdr:rowOff>190500</xdr:rowOff>
        </xdr:from>
        <xdr:to>
          <xdr:col>3</xdr:col>
          <xdr:colOff>327660</xdr:colOff>
          <xdr:row>12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11</xdr:row>
          <xdr:rowOff>198120</xdr:rowOff>
        </xdr:from>
        <xdr:to>
          <xdr:col>3</xdr:col>
          <xdr:colOff>327660</xdr:colOff>
          <xdr:row>13</xdr:row>
          <xdr:rowOff>7620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14</xdr:row>
          <xdr:rowOff>0</xdr:rowOff>
        </xdr:from>
        <xdr:to>
          <xdr:col>3</xdr:col>
          <xdr:colOff>327660</xdr:colOff>
          <xdr:row>15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12</xdr:row>
          <xdr:rowOff>190500</xdr:rowOff>
        </xdr:from>
        <xdr:to>
          <xdr:col>3</xdr:col>
          <xdr:colOff>327660</xdr:colOff>
          <xdr:row>14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15</xdr:row>
          <xdr:rowOff>0</xdr:rowOff>
        </xdr:from>
        <xdr:to>
          <xdr:col>3</xdr:col>
          <xdr:colOff>327660</xdr:colOff>
          <xdr:row>16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76200</xdr:colOff>
      <xdr:row>0</xdr:row>
      <xdr:rowOff>1143000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72750" cy="1143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172950" cy="1266824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72950" cy="1266824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11100" cy="14192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11100" cy="1419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outswa.sharepoint.com/:b:/s/QualityandRiskHub/EYg6yAqvPgVCnXYkwLkvOoEBBMD2hQOMpU2V6ILBG1fzEQ?e=e3xJYa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a-1.myscout.com.au/DocumentDisplay/6071" TargetMode="External"/><Relationship Id="rId1" Type="http://schemas.openxmlformats.org/officeDocument/2006/relationships/hyperlink" Target="https://docs.google.com/spreadsheets/d/1kJytZWWuOsPPI9tR3Ckculo7RQVbxi3iiLlymflxY6o/copy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coutswa.com.au/wp-content/uploads/2023/08/Risk-Matrix_For-Incident-Report-System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26"/>
  <sheetViews>
    <sheetView showGridLines="0" topLeftCell="A9" zoomScaleNormal="100" workbookViewId="0">
      <selection activeCell="C73" sqref="C73"/>
    </sheetView>
  </sheetViews>
  <sheetFormatPr defaultColWidth="20.1640625" defaultRowHeight="15" customHeight="1"/>
  <cols>
    <col min="1" max="1" width="20" customWidth="1"/>
    <col min="2" max="5" width="59.83203125" customWidth="1"/>
  </cols>
  <sheetData>
    <row r="1" spans="1:5" ht="108" customHeight="1">
      <c r="A1" s="276"/>
      <c r="B1" s="276"/>
      <c r="C1" s="276"/>
      <c r="D1" s="276"/>
      <c r="E1" s="276"/>
    </row>
    <row r="2" spans="1:5" ht="39.6" thickBot="1">
      <c r="A2" s="277" t="s">
        <v>0</v>
      </c>
      <c r="B2" s="276"/>
      <c r="C2" s="276"/>
      <c r="D2" s="1"/>
      <c r="E2" s="2"/>
    </row>
    <row r="3" spans="1:5" ht="24">
      <c r="A3" s="3" t="s">
        <v>1</v>
      </c>
      <c r="B3" s="4"/>
      <c r="C3" s="4"/>
      <c r="D3" s="4"/>
      <c r="E3" s="5"/>
    </row>
    <row r="4" spans="1:5" ht="36.75" customHeight="1">
      <c r="A4" s="280" t="s">
        <v>2</v>
      </c>
      <c r="B4" s="276"/>
      <c r="C4" s="276"/>
      <c r="D4" s="276"/>
      <c r="E4" s="281"/>
    </row>
    <row r="5" spans="1:5" ht="7.8">
      <c r="A5" s="278" t="s">
        <v>3</v>
      </c>
      <c r="B5" s="276"/>
      <c r="C5" s="276"/>
      <c r="D5" s="276"/>
      <c r="E5" s="279"/>
    </row>
    <row r="6" spans="1:5" ht="7.8">
      <c r="A6" s="278" t="s">
        <v>4</v>
      </c>
      <c r="B6" s="276"/>
      <c r="C6" s="276"/>
      <c r="D6" s="276"/>
      <c r="E6" s="279"/>
    </row>
    <row r="7" spans="1:5" ht="42" customHeight="1">
      <c r="A7" s="280" t="s">
        <v>5</v>
      </c>
      <c r="B7" s="276"/>
      <c r="C7" s="276"/>
      <c r="D7" s="276"/>
      <c r="E7" s="281"/>
    </row>
    <row r="8" spans="1:5" ht="48.75" customHeight="1">
      <c r="A8" s="6" t="s">
        <v>6</v>
      </c>
      <c r="B8" s="7" t="s">
        <v>7</v>
      </c>
      <c r="C8" s="7" t="s">
        <v>8</v>
      </c>
      <c r="D8" s="7" t="s">
        <v>9</v>
      </c>
      <c r="E8" s="8" t="s">
        <v>10</v>
      </c>
    </row>
    <row r="9" spans="1:5" ht="125.25" customHeight="1">
      <c r="A9" s="9"/>
      <c r="B9" s="10" t="s">
        <v>11</v>
      </c>
      <c r="C9" s="10" t="s">
        <v>12</v>
      </c>
      <c r="D9" s="10" t="s">
        <v>13</v>
      </c>
      <c r="E9" s="11"/>
    </row>
    <row r="10" spans="1:5" ht="67.5" customHeight="1">
      <c r="A10" s="12"/>
      <c r="B10" s="7" t="s">
        <v>14</v>
      </c>
      <c r="C10" s="13" t="s">
        <v>15</v>
      </c>
      <c r="D10" s="7" t="s">
        <v>16</v>
      </c>
      <c r="E10" s="14" t="s">
        <v>17</v>
      </c>
    </row>
    <row r="11" spans="1:5" ht="63" thickBot="1">
      <c r="A11" s="15"/>
      <c r="B11" s="16" t="s">
        <v>18</v>
      </c>
      <c r="C11" s="16" t="s">
        <v>19</v>
      </c>
      <c r="D11" s="16" t="s">
        <v>20</v>
      </c>
      <c r="E11" s="17"/>
    </row>
    <row r="12" spans="1:5" ht="12.75" customHeight="1" thickBot="1">
      <c r="A12" s="164"/>
      <c r="B12" s="275"/>
      <c r="C12" s="274"/>
      <c r="D12" s="274"/>
      <c r="E12" s="274"/>
    </row>
    <row r="13" spans="1:5" ht="21" customHeight="1">
      <c r="A13" s="282" t="s">
        <v>21</v>
      </c>
      <c r="B13" s="283"/>
      <c r="C13" s="4"/>
      <c r="D13" s="4"/>
      <c r="E13" s="5"/>
    </row>
    <row r="14" spans="1:5" ht="18.600000000000001" thickBot="1">
      <c r="A14" s="18"/>
      <c r="B14" s="270" t="s">
        <v>22</v>
      </c>
      <c r="C14" s="19"/>
      <c r="D14" s="19"/>
      <c r="E14" s="20"/>
    </row>
    <row r="15" spans="1:5" ht="21.6" thickBot="1">
      <c r="A15" s="164"/>
      <c r="B15" s="164"/>
      <c r="C15" s="274"/>
      <c r="D15" s="274"/>
      <c r="E15" s="274"/>
    </row>
    <row r="16" spans="1:5" ht="24" customHeight="1">
      <c r="A16" s="282" t="s">
        <v>23</v>
      </c>
      <c r="B16" s="287"/>
      <c r="C16" s="21"/>
      <c r="D16" s="21"/>
      <c r="E16" s="22"/>
    </row>
    <row r="17" spans="1:5" ht="47.25" customHeight="1">
      <c r="A17" s="23"/>
      <c r="B17" s="284" t="s">
        <v>24</v>
      </c>
      <c r="C17" s="276"/>
      <c r="D17" s="24"/>
      <c r="E17" s="25"/>
    </row>
    <row r="18" spans="1:5" ht="49.5" customHeight="1">
      <c r="A18" s="26"/>
      <c r="B18" s="288" t="s">
        <v>25</v>
      </c>
      <c r="C18" s="276"/>
      <c r="D18" s="27"/>
      <c r="E18" s="28"/>
    </row>
    <row r="19" spans="1:5" ht="54" customHeight="1">
      <c r="A19" s="23"/>
      <c r="B19" s="284" t="s">
        <v>26</v>
      </c>
      <c r="C19" s="276"/>
      <c r="D19" s="24" t="s">
        <v>27</v>
      </c>
      <c r="E19" s="25"/>
    </row>
    <row r="20" spans="1:5" ht="39" customHeight="1" thickBot="1">
      <c r="A20" s="29"/>
      <c r="B20" s="285" t="s">
        <v>28</v>
      </c>
      <c r="C20" s="286"/>
      <c r="D20" s="30"/>
      <c r="E20" s="31"/>
    </row>
    <row r="21" spans="1:5" ht="12.75" customHeight="1" thickBot="1">
      <c r="A21" s="164"/>
      <c r="B21" s="164"/>
      <c r="C21" s="274"/>
      <c r="D21" s="274"/>
      <c r="E21" s="274"/>
    </row>
    <row r="22" spans="1:5" ht="26.25" customHeight="1">
      <c r="A22" s="282" t="s">
        <v>29</v>
      </c>
      <c r="B22" s="289"/>
      <c r="C22" s="21"/>
      <c r="D22" s="21"/>
      <c r="E22" s="22"/>
    </row>
    <row r="23" spans="1:5" ht="33" customHeight="1">
      <c r="A23" s="26"/>
      <c r="B23" s="288" t="s">
        <v>30</v>
      </c>
      <c r="C23" s="276"/>
      <c r="D23" s="27"/>
      <c r="E23" s="28"/>
    </row>
    <row r="24" spans="1:5" ht="33.75" customHeight="1">
      <c r="A24" s="23"/>
      <c r="B24" s="284" t="s">
        <v>31</v>
      </c>
      <c r="C24" s="276"/>
      <c r="D24" s="24"/>
      <c r="E24" s="25"/>
    </row>
    <row r="25" spans="1:5" ht="37.5" customHeight="1" thickBot="1">
      <c r="A25" s="32"/>
      <c r="B25" s="285" t="s">
        <v>32</v>
      </c>
      <c r="C25" s="286"/>
      <c r="D25" s="30"/>
      <c r="E25" s="31"/>
    </row>
    <row r="26" spans="1:5" ht="15.6">
      <c r="A26" s="272"/>
      <c r="B26" s="163"/>
      <c r="C26" s="273"/>
      <c r="D26" s="273"/>
      <c r="E26" s="273"/>
    </row>
  </sheetData>
  <mergeCells count="16">
    <mergeCell ref="A7:E7"/>
    <mergeCell ref="A13:B13"/>
    <mergeCell ref="B24:C24"/>
    <mergeCell ref="B25:C25"/>
    <mergeCell ref="A16:B16"/>
    <mergeCell ref="B17:C17"/>
    <mergeCell ref="B18:C18"/>
    <mergeCell ref="B19:C19"/>
    <mergeCell ref="B20:C20"/>
    <mergeCell ref="A22:B22"/>
    <mergeCell ref="B23:C23"/>
    <mergeCell ref="A1:E1"/>
    <mergeCell ref="A2:C2"/>
    <mergeCell ref="A5:E5"/>
    <mergeCell ref="A6:E6"/>
    <mergeCell ref="A4:E4"/>
  </mergeCells>
  <hyperlinks>
    <hyperlink ref="A5" r:id="rId1" display="To use the R1 template, you will need to make your own copy." xr:uid="{00000000-0004-0000-0000-000000000000}"/>
    <hyperlink ref="A6" r:id="rId2" xr:uid="{00000000-0004-0000-0000-000002000000}"/>
    <hyperlink ref="B14" r:id="rId3" xr:uid="{00000000-0004-0000-0000-000003000000}"/>
  </hyperlinks>
  <printOptions horizontalCentered="1" gridLines="1"/>
  <pageMargins left="0.7" right="0.7" top="0.75" bottom="0.75" header="0" footer="0"/>
  <pageSetup scale="58" pageOrder="overThenDown" orientation="portrait" cellComments="atEnd" r:id="rId4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  <pageSetUpPr fitToPage="1"/>
  </sheetPr>
  <dimension ref="A1:K12"/>
  <sheetViews>
    <sheetView showGridLines="0" tabSelected="1" view="pageBreakPreview" zoomScale="60" zoomScaleNormal="100" workbookViewId="0">
      <selection activeCell="J3" sqref="J3:K3"/>
    </sheetView>
  </sheetViews>
  <sheetFormatPr defaultColWidth="20.1640625" defaultRowHeight="15" customHeight="1"/>
  <cols>
    <col min="1" max="1" width="8.83203125" customWidth="1"/>
    <col min="2" max="2" width="10.83203125" customWidth="1"/>
    <col min="4" max="8" width="40.1640625" customWidth="1"/>
    <col min="9" max="9" width="11.1640625" customWidth="1"/>
    <col min="12" max="12" width="11.1640625" customWidth="1"/>
  </cols>
  <sheetData>
    <row r="1" spans="1:11" ht="18">
      <c r="A1" s="34"/>
      <c r="B1" s="35"/>
      <c r="C1" s="35"/>
      <c r="D1" s="35"/>
      <c r="E1" s="35"/>
      <c r="F1" s="35"/>
      <c r="G1" s="35"/>
      <c r="H1" s="35"/>
      <c r="I1" s="35"/>
    </row>
    <row r="2" spans="1:11" ht="42.75" customHeight="1">
      <c r="A2" s="34"/>
      <c r="B2" s="36"/>
      <c r="C2" s="37"/>
      <c r="D2" s="293" t="s">
        <v>33</v>
      </c>
      <c r="E2" s="294"/>
      <c r="F2" s="294"/>
      <c r="G2" s="294"/>
      <c r="H2" s="295"/>
      <c r="I2" s="38"/>
      <c r="J2" s="296" t="s">
        <v>34</v>
      </c>
      <c r="K2" s="297"/>
    </row>
    <row r="3" spans="1:11" ht="18">
      <c r="A3" s="34"/>
      <c r="B3" s="39"/>
      <c r="C3" s="37"/>
      <c r="D3" s="40" t="s">
        <v>35</v>
      </c>
      <c r="E3" s="40" t="s">
        <v>36</v>
      </c>
      <c r="F3" s="40" t="s">
        <v>37</v>
      </c>
      <c r="G3" s="40" t="s">
        <v>38</v>
      </c>
      <c r="H3" s="40" t="s">
        <v>39</v>
      </c>
      <c r="I3" s="38"/>
      <c r="J3" s="298" t="s">
        <v>40</v>
      </c>
      <c r="K3" s="299"/>
    </row>
    <row r="4" spans="1:11" ht="56.25" customHeight="1">
      <c r="A4" s="34"/>
      <c r="B4" s="300" t="s">
        <v>41</v>
      </c>
      <c r="C4" s="40" t="s">
        <v>42</v>
      </c>
      <c r="D4" s="41" t="s">
        <v>43</v>
      </c>
      <c r="E4" s="41" t="s">
        <v>44</v>
      </c>
      <c r="F4" s="41" t="s">
        <v>45</v>
      </c>
      <c r="G4" s="42" t="s">
        <v>46</v>
      </c>
      <c r="H4" s="42" t="s">
        <v>47</v>
      </c>
      <c r="I4" s="38"/>
      <c r="J4" s="43" t="s">
        <v>48</v>
      </c>
      <c r="K4" s="44"/>
    </row>
    <row r="5" spans="1:11" ht="56.25" customHeight="1">
      <c r="A5" s="34"/>
      <c r="B5" s="301"/>
      <c r="C5" s="40" t="s">
        <v>49</v>
      </c>
      <c r="D5" s="41" t="s">
        <v>50</v>
      </c>
      <c r="E5" s="41" t="s">
        <v>51</v>
      </c>
      <c r="F5" s="42" t="s">
        <v>52</v>
      </c>
      <c r="G5" s="42" t="s">
        <v>53</v>
      </c>
      <c r="H5" s="45" t="s">
        <v>54</v>
      </c>
      <c r="I5" s="38"/>
      <c r="J5" s="43" t="s">
        <v>55</v>
      </c>
      <c r="K5" s="44"/>
    </row>
    <row r="6" spans="1:11" ht="56.25" customHeight="1">
      <c r="A6" s="34"/>
      <c r="B6" s="301"/>
      <c r="C6" s="40" t="s">
        <v>56</v>
      </c>
      <c r="D6" s="41" t="s">
        <v>57</v>
      </c>
      <c r="E6" s="42" t="s">
        <v>58</v>
      </c>
      <c r="F6" s="42" t="s">
        <v>59</v>
      </c>
      <c r="G6" s="45" t="s">
        <v>60</v>
      </c>
      <c r="H6" s="46" t="s">
        <v>61</v>
      </c>
      <c r="I6" s="38"/>
      <c r="J6" s="43" t="s">
        <v>62</v>
      </c>
      <c r="K6" s="44"/>
    </row>
    <row r="7" spans="1:11" ht="56.25" customHeight="1">
      <c r="A7" s="34"/>
      <c r="B7" s="301"/>
      <c r="C7" s="40" t="s">
        <v>63</v>
      </c>
      <c r="D7" s="42" t="s">
        <v>64</v>
      </c>
      <c r="E7" s="42" t="s">
        <v>65</v>
      </c>
      <c r="F7" s="45" t="s">
        <v>66</v>
      </c>
      <c r="G7" s="46" t="s">
        <v>67</v>
      </c>
      <c r="H7" s="47" t="s">
        <v>68</v>
      </c>
      <c r="I7" s="38"/>
      <c r="J7" s="43" t="s">
        <v>69</v>
      </c>
      <c r="K7" s="44"/>
    </row>
    <row r="8" spans="1:11" ht="56.25" customHeight="1">
      <c r="A8" s="34"/>
      <c r="B8" s="302"/>
      <c r="C8" s="40" t="s">
        <v>70</v>
      </c>
      <c r="D8" s="42" t="s">
        <v>71</v>
      </c>
      <c r="E8" s="45" t="s">
        <v>72</v>
      </c>
      <c r="F8" s="46" t="s">
        <v>73</v>
      </c>
      <c r="G8" s="47" t="s">
        <v>74</v>
      </c>
      <c r="H8" s="47" t="s">
        <v>75</v>
      </c>
      <c r="I8" s="38"/>
      <c r="J8" s="43" t="s">
        <v>76</v>
      </c>
      <c r="K8" s="44"/>
    </row>
    <row r="9" spans="1:11" ht="56.25" customHeight="1">
      <c r="A9" s="34"/>
      <c r="B9" s="35"/>
      <c r="C9" s="35"/>
      <c r="D9" s="35"/>
      <c r="E9" s="35"/>
      <c r="F9" s="35"/>
      <c r="G9" s="35"/>
      <c r="H9" s="35"/>
      <c r="I9" s="35"/>
      <c r="J9" s="43" t="s">
        <v>77</v>
      </c>
      <c r="K9" s="44"/>
    </row>
    <row r="10" spans="1:11" ht="21">
      <c r="A10" s="34"/>
      <c r="B10" s="35"/>
      <c r="C10" s="303" t="s">
        <v>78</v>
      </c>
      <c r="D10" s="304"/>
      <c r="E10" s="304"/>
      <c r="F10" s="304"/>
      <c r="G10" s="304"/>
      <c r="H10" s="305"/>
      <c r="I10" s="35"/>
      <c r="J10" s="306" t="s">
        <v>79</v>
      </c>
      <c r="K10" s="307"/>
    </row>
    <row r="11" spans="1:11" ht="21">
      <c r="A11" s="34"/>
      <c r="B11" s="35"/>
      <c r="C11" s="290" t="s">
        <v>80</v>
      </c>
      <c r="D11" s="291"/>
      <c r="E11" s="291"/>
      <c r="F11" s="291"/>
      <c r="G11" s="291"/>
      <c r="H11" s="292"/>
      <c r="I11" s="35"/>
      <c r="J11" s="35"/>
      <c r="K11" s="35"/>
    </row>
    <row r="12" spans="1:11" ht="18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</row>
  </sheetData>
  <mergeCells count="7">
    <mergeCell ref="C11:H11"/>
    <mergeCell ref="D2:H2"/>
    <mergeCell ref="J2:K2"/>
    <mergeCell ref="J3:K3"/>
    <mergeCell ref="B4:B8"/>
    <mergeCell ref="C10:H10"/>
    <mergeCell ref="J10:K10"/>
  </mergeCells>
  <hyperlinks>
    <hyperlink ref="C11" r:id="rId1" xr:uid="{00000000-0004-0000-0100-000000000000}"/>
  </hyperlinks>
  <pageMargins left="0.7" right="0.7" top="0.75" bottom="0.75" header="0.3" footer="0.3"/>
  <pageSetup paperSize="9" scale="48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  <pageSetUpPr fitToPage="1"/>
  </sheetPr>
  <dimension ref="A1:K97"/>
  <sheetViews>
    <sheetView showGridLines="0" view="pageBreakPreview" topLeftCell="A141" zoomScale="60" zoomScaleNormal="100" workbookViewId="0">
      <selection activeCell="K54" sqref="K54"/>
    </sheetView>
  </sheetViews>
  <sheetFormatPr defaultColWidth="20.1640625" defaultRowHeight="15" customHeight="1"/>
  <cols>
    <col min="1" max="1" width="6.6640625" customWidth="1"/>
    <col min="2" max="2" width="46.6640625" customWidth="1"/>
    <col min="3" max="3" width="51" customWidth="1"/>
    <col min="4" max="4" width="8.83203125" customWidth="1"/>
    <col min="5" max="5" width="33.33203125" customWidth="1"/>
    <col min="6" max="6" width="36" customWidth="1"/>
    <col min="7" max="7" width="53.6640625" customWidth="1"/>
    <col min="8" max="8" width="29.6640625" customWidth="1"/>
  </cols>
  <sheetData>
    <row r="1" spans="1:8" ht="108" customHeight="1">
      <c r="A1" s="308"/>
      <c r="B1" s="309"/>
      <c r="C1" s="309"/>
      <c r="D1" s="309"/>
      <c r="E1" s="309"/>
      <c r="F1" s="309"/>
      <c r="G1" s="309"/>
      <c r="H1" s="309"/>
    </row>
    <row r="2" spans="1:8" ht="24.75" customHeight="1">
      <c r="A2" s="171"/>
      <c r="B2" s="172"/>
      <c r="C2" s="173"/>
      <c r="D2" s="174"/>
      <c r="E2" s="174"/>
      <c r="F2" s="174"/>
      <c r="G2" s="174"/>
      <c r="H2" s="48"/>
    </row>
    <row r="3" spans="1:8" ht="44.4">
      <c r="A3" s="171"/>
      <c r="B3" s="175" t="s">
        <v>81</v>
      </c>
      <c r="C3" s="176"/>
      <c r="D3" s="176"/>
      <c r="E3" s="176"/>
      <c r="F3" s="176"/>
      <c r="G3" s="176"/>
      <c r="H3" s="177"/>
    </row>
    <row r="4" spans="1:8" ht="27" customHeight="1">
      <c r="A4" s="171"/>
      <c r="B4" s="178"/>
      <c r="C4" s="310" t="s">
        <v>82</v>
      </c>
      <c r="D4" s="276"/>
      <c r="E4" s="179" t="s">
        <v>83</v>
      </c>
      <c r="F4" s="179" t="s">
        <v>84</v>
      </c>
      <c r="G4" s="179"/>
      <c r="H4" s="180"/>
    </row>
    <row r="5" spans="1:8" ht="21" customHeight="1">
      <c r="A5" s="171"/>
      <c r="B5" s="181" t="s">
        <v>85</v>
      </c>
      <c r="C5" s="311" t="s">
        <v>86</v>
      </c>
      <c r="D5" s="294"/>
      <c r="E5" s="182" t="str">
        <f>IFERROR((VLOOKUP($C5,Lookups!$C$6:$E$155,2,FALSE)), "")</f>
        <v/>
      </c>
      <c r="F5" s="312" t="str">
        <f>IFERROR((VLOOKUP($C5,Lookups!$C$6:$E$155,3,FALSE)), "")</f>
        <v/>
      </c>
      <c r="G5" s="295"/>
      <c r="H5" s="183"/>
    </row>
    <row r="6" spans="1:8" ht="21" customHeight="1">
      <c r="A6" s="171"/>
      <c r="B6" s="181"/>
      <c r="C6" s="311" t="s">
        <v>86</v>
      </c>
      <c r="D6" s="294"/>
      <c r="E6" s="182" t="str">
        <f>IFERROR((VLOOKUP($C6,Lookups!$C$6:$E$155,2,FALSE)), "")</f>
        <v/>
      </c>
      <c r="F6" s="312" t="str">
        <f>IFERROR((VLOOKUP($C6,Lookups!$C$6:$E$155,3,FALSE)), "")</f>
        <v/>
      </c>
      <c r="G6" s="295"/>
      <c r="H6" s="183"/>
    </row>
    <row r="7" spans="1:8" ht="21" customHeight="1">
      <c r="A7" s="171"/>
      <c r="B7" s="181"/>
      <c r="C7" s="311" t="s">
        <v>86</v>
      </c>
      <c r="D7" s="294"/>
      <c r="E7" s="182" t="str">
        <f>IFERROR((VLOOKUP($C7,Lookups!$C$6:$E$155,2,FALSE)), "")</f>
        <v/>
      </c>
      <c r="F7" s="312" t="str">
        <f>IFERROR((VLOOKUP($C7,Lookups!$C$6:$E$155,3,FALSE)), "")</f>
        <v/>
      </c>
      <c r="G7" s="295"/>
      <c r="H7" s="183"/>
    </row>
    <row r="8" spans="1:8" ht="21" customHeight="1">
      <c r="A8" s="171"/>
      <c r="B8" s="181"/>
      <c r="C8" s="311" t="s">
        <v>86</v>
      </c>
      <c r="D8" s="295"/>
      <c r="E8" s="182"/>
      <c r="F8" s="312" t="str">
        <f>IFERROR((VLOOKUP($C8,Lookups!$C$6:$E$155,3,FALSE)), "")</f>
        <v/>
      </c>
      <c r="G8" s="295"/>
      <c r="H8" s="183"/>
    </row>
    <row r="9" spans="1:8" ht="21" customHeight="1">
      <c r="A9" s="171"/>
      <c r="B9" s="181"/>
      <c r="C9" s="311" t="s">
        <v>86</v>
      </c>
      <c r="D9" s="295"/>
      <c r="E9" s="182" t="str">
        <f>IFERROR((VLOOKUP($C9,Lookups!$C$6:$E$155,2,FALSE)), "")</f>
        <v/>
      </c>
      <c r="F9" s="312" t="str">
        <f>IFERROR((VLOOKUP($C9,Lookups!$C$6:$E$155,3,FALSE)), "")</f>
        <v/>
      </c>
      <c r="G9" s="295"/>
      <c r="H9" s="183"/>
    </row>
    <row r="10" spans="1:8" ht="9.75" customHeight="1">
      <c r="A10" s="171"/>
      <c r="B10" s="181"/>
      <c r="C10" s="184"/>
      <c r="D10" s="184"/>
      <c r="E10" s="184"/>
      <c r="F10" s="184"/>
      <c r="G10" s="184"/>
      <c r="H10" s="185"/>
    </row>
    <row r="11" spans="1:8" ht="15.6">
      <c r="A11" s="171"/>
      <c r="B11" s="181" t="s">
        <v>87</v>
      </c>
      <c r="C11" s="49" t="s">
        <v>88</v>
      </c>
      <c r="D11" s="50"/>
      <c r="E11" s="186"/>
      <c r="F11" s="186"/>
      <c r="G11" s="186"/>
      <c r="H11" s="313" t="s">
        <v>89</v>
      </c>
    </row>
    <row r="12" spans="1:8" ht="15.6">
      <c r="A12" s="171"/>
      <c r="B12" s="181"/>
      <c r="C12" s="49" t="s">
        <v>90</v>
      </c>
      <c r="D12" s="50"/>
      <c r="E12" s="186"/>
      <c r="F12" s="186"/>
      <c r="G12" s="186"/>
      <c r="H12" s="314"/>
    </row>
    <row r="13" spans="1:8" ht="15.6">
      <c r="A13" s="171"/>
      <c r="B13" s="181"/>
      <c r="C13" s="49" t="s">
        <v>91</v>
      </c>
      <c r="D13" s="50"/>
      <c r="E13" s="186"/>
      <c r="F13" s="186"/>
      <c r="G13" s="186"/>
      <c r="H13" s="314"/>
    </row>
    <row r="14" spans="1:8" ht="15.6">
      <c r="A14" s="171"/>
      <c r="B14" s="181"/>
      <c r="C14" s="49" t="s">
        <v>92</v>
      </c>
      <c r="D14" s="50"/>
      <c r="E14" s="186"/>
      <c r="F14" s="186"/>
      <c r="G14" s="186"/>
      <c r="H14" s="314"/>
    </row>
    <row r="15" spans="1:8" ht="15.75" customHeight="1">
      <c r="A15" s="171"/>
      <c r="B15" s="181"/>
      <c r="C15" s="49" t="s">
        <v>93</v>
      </c>
      <c r="D15" s="50"/>
      <c r="E15" s="186"/>
      <c r="F15" s="186"/>
      <c r="G15" s="186"/>
      <c r="H15" s="314"/>
    </row>
    <row r="16" spans="1:8" ht="15.75" customHeight="1">
      <c r="A16" s="171"/>
      <c r="B16" s="181"/>
      <c r="C16" s="49" t="s">
        <v>94</v>
      </c>
      <c r="D16" s="50"/>
      <c r="E16" s="51"/>
      <c r="F16" s="51"/>
      <c r="G16" s="51"/>
      <c r="H16" s="187" t="s">
        <v>95</v>
      </c>
    </row>
    <row r="17" spans="1:8" ht="9.75" customHeight="1">
      <c r="A17" s="171"/>
      <c r="B17" s="188"/>
      <c r="C17" s="189"/>
      <c r="D17" s="190"/>
      <c r="E17" s="190"/>
      <c r="F17" s="190"/>
      <c r="G17" s="190"/>
      <c r="H17" s="191"/>
    </row>
    <row r="18" spans="1:8" ht="13.5" customHeight="1">
      <c r="A18" s="171"/>
      <c r="B18" s="192"/>
      <c r="C18" s="52"/>
      <c r="D18" s="52"/>
      <c r="E18" s="171"/>
      <c r="F18" s="171"/>
      <c r="G18" s="171"/>
      <c r="H18" s="171"/>
    </row>
    <row r="19" spans="1:8" ht="26.4">
      <c r="A19" s="171"/>
      <c r="B19" s="193" t="s">
        <v>96</v>
      </c>
      <c r="C19" s="53"/>
      <c r="D19" s="53"/>
      <c r="E19" s="53"/>
      <c r="F19" s="53"/>
      <c r="G19" s="53"/>
      <c r="H19" s="194"/>
    </row>
    <row r="20" spans="1:8" ht="11.25" customHeight="1">
      <c r="A20" s="171"/>
      <c r="B20" s="195"/>
      <c r="C20" s="54"/>
      <c r="D20" s="54"/>
      <c r="E20" s="55"/>
      <c r="F20" s="55"/>
      <c r="G20" s="55"/>
      <c r="H20" s="196"/>
    </row>
    <row r="21" spans="1:8" ht="23.25" customHeight="1">
      <c r="A21" s="171"/>
      <c r="B21" s="57" t="s">
        <v>97</v>
      </c>
      <c r="C21" s="316" t="s">
        <v>98</v>
      </c>
      <c r="D21" s="295"/>
      <c r="E21" s="315"/>
      <c r="F21" s="294"/>
      <c r="G21" s="295"/>
      <c r="H21" s="197"/>
    </row>
    <row r="22" spans="1:8" ht="15.6">
      <c r="A22" s="171"/>
      <c r="B22" s="198" t="s">
        <v>99</v>
      </c>
      <c r="C22" s="56"/>
      <c r="D22" s="56"/>
      <c r="E22" s="56"/>
      <c r="F22" s="199"/>
      <c r="G22" s="199"/>
      <c r="H22" s="197"/>
    </row>
    <row r="23" spans="1:8" ht="23.25" customHeight="1">
      <c r="A23" s="171"/>
      <c r="B23" s="57" t="s">
        <v>100</v>
      </c>
      <c r="C23" s="317"/>
      <c r="D23" s="294"/>
      <c r="E23" s="295"/>
      <c r="F23" s="200"/>
      <c r="G23" s="201"/>
      <c r="H23" s="197"/>
    </row>
    <row r="24" spans="1:8" ht="15.6">
      <c r="A24" s="171"/>
      <c r="B24" s="57"/>
      <c r="C24" s="201"/>
      <c r="D24" s="201"/>
      <c r="E24" s="201"/>
      <c r="F24" s="201"/>
      <c r="G24" s="201"/>
      <c r="H24" s="202"/>
    </row>
    <row r="25" spans="1:8" ht="21" customHeight="1">
      <c r="A25" s="171"/>
      <c r="B25" s="57" t="s">
        <v>101</v>
      </c>
      <c r="C25" s="318"/>
      <c r="D25" s="295"/>
      <c r="E25" s="201"/>
      <c r="F25" s="201"/>
      <c r="G25" s="203"/>
      <c r="H25" s="197"/>
    </row>
    <row r="26" spans="1:8" ht="15.6">
      <c r="A26" s="171"/>
      <c r="B26" s="57"/>
      <c r="C26" s="201"/>
      <c r="D26" s="201"/>
      <c r="E26" s="201"/>
      <c r="F26" s="201"/>
      <c r="G26" s="201"/>
      <c r="H26" s="202"/>
    </row>
    <row r="27" spans="1:8" ht="21" customHeight="1">
      <c r="A27" s="171"/>
      <c r="B27" s="57" t="s">
        <v>102</v>
      </c>
      <c r="C27" s="318"/>
      <c r="D27" s="294"/>
      <c r="E27" s="294"/>
      <c r="F27" s="294"/>
      <c r="G27" s="295"/>
      <c r="H27" s="197"/>
    </row>
    <row r="28" spans="1:8" ht="15.6">
      <c r="A28" s="171"/>
      <c r="B28" s="57"/>
      <c r="C28" s="199"/>
      <c r="D28" s="199"/>
      <c r="E28" s="199"/>
      <c r="F28" s="199"/>
      <c r="G28" s="199"/>
      <c r="H28" s="197"/>
    </row>
    <row r="29" spans="1:8" ht="15.6">
      <c r="A29" s="171"/>
      <c r="B29" s="57" t="s">
        <v>103</v>
      </c>
      <c r="C29" s="58"/>
      <c r="D29" s="59"/>
      <c r="E29" s="200" t="s">
        <v>104</v>
      </c>
      <c r="F29" s="60"/>
      <c r="G29" s="204"/>
      <c r="H29" s="205"/>
    </row>
    <row r="30" spans="1:8" ht="21" customHeight="1">
      <c r="A30" s="171"/>
      <c r="B30" s="57"/>
      <c r="C30" s="206" t="s">
        <v>105</v>
      </c>
      <c r="D30" s="207"/>
      <c r="E30" s="207"/>
      <c r="F30" s="61" t="s">
        <v>106</v>
      </c>
      <c r="G30" s="56"/>
      <c r="H30" s="197"/>
    </row>
    <row r="31" spans="1:8" ht="15.6">
      <c r="A31" s="171"/>
      <c r="B31" s="57" t="s">
        <v>107</v>
      </c>
      <c r="C31" s="58"/>
      <c r="D31" s="62"/>
      <c r="E31" s="200" t="s">
        <v>104</v>
      </c>
      <c r="F31" s="63"/>
      <c r="G31" s="208"/>
      <c r="H31" s="197"/>
    </row>
    <row r="32" spans="1:8" ht="15.6">
      <c r="A32" s="171"/>
      <c r="B32" s="57"/>
      <c r="C32" s="64"/>
      <c r="D32" s="65"/>
      <c r="E32" s="209"/>
      <c r="F32" s="66"/>
      <c r="G32" s="199"/>
      <c r="H32" s="197"/>
    </row>
    <row r="33" spans="1:8" ht="18">
      <c r="A33" s="210"/>
      <c r="B33" s="211"/>
      <c r="C33" s="320" t="str">
        <f ca="1">IFERROR(CONCATENATE("Event start date is ",MROUND(DATEDIF(TODAY(),C29,"d")/7,1), " weeks away."),"")</f>
        <v/>
      </c>
      <c r="D33" s="320"/>
      <c r="E33" s="320"/>
      <c r="F33" s="212"/>
      <c r="G33" s="213"/>
      <c r="H33" s="214"/>
    </row>
    <row r="34" spans="1:8" ht="15.6">
      <c r="A34" s="171"/>
      <c r="B34" s="215"/>
      <c r="C34" s="216"/>
      <c r="D34" s="217"/>
      <c r="E34" s="218"/>
      <c r="F34" s="219"/>
      <c r="G34" s="220"/>
      <c r="H34" s="221"/>
    </row>
    <row r="35" spans="1:8" ht="13.5" customHeight="1">
      <c r="A35" s="171"/>
      <c r="B35" s="222"/>
      <c r="C35" s="171"/>
      <c r="D35" s="171"/>
      <c r="E35" s="171"/>
      <c r="F35" s="171"/>
      <c r="G35" s="171"/>
      <c r="H35" s="171"/>
    </row>
    <row r="36" spans="1:8" ht="26.4">
      <c r="A36" s="171"/>
      <c r="B36" s="223" t="s">
        <v>108</v>
      </c>
      <c r="C36" s="224" t="s">
        <v>109</v>
      </c>
      <c r="D36" s="67"/>
      <c r="E36" s="67"/>
      <c r="F36" s="67"/>
      <c r="G36" s="67"/>
      <c r="H36" s="225"/>
    </row>
    <row r="37" spans="1:8" ht="24.75" customHeight="1">
      <c r="A37" s="171"/>
      <c r="B37" s="226"/>
      <c r="C37" s="68" t="s">
        <v>110</v>
      </c>
      <c r="D37" s="68"/>
      <c r="E37" s="68" t="s">
        <v>111</v>
      </c>
      <c r="F37" s="68" t="s">
        <v>112</v>
      </c>
      <c r="G37" s="68" t="s">
        <v>113</v>
      </c>
      <c r="H37" s="227"/>
    </row>
    <row r="38" spans="1:8" ht="23.25" customHeight="1">
      <c r="A38" s="171"/>
      <c r="B38" s="228"/>
      <c r="C38" s="316"/>
      <c r="D38" s="294"/>
      <c r="E38" s="229"/>
      <c r="F38" s="69"/>
      <c r="G38" s="70"/>
      <c r="H38" s="227"/>
    </row>
    <row r="39" spans="1:8" ht="21" customHeight="1">
      <c r="A39" s="171"/>
      <c r="B39" s="228"/>
      <c r="C39" s="71" t="s">
        <v>114</v>
      </c>
      <c r="D39" s="72"/>
      <c r="E39" s="73"/>
      <c r="F39" s="230"/>
      <c r="G39" s="68" t="s">
        <v>115</v>
      </c>
      <c r="H39" s="231"/>
    </row>
    <row r="40" spans="1:8" ht="21" customHeight="1">
      <c r="A40" s="52"/>
      <c r="B40" s="228" t="s">
        <v>116</v>
      </c>
      <c r="C40" s="319" t="s">
        <v>117</v>
      </c>
      <c r="D40" s="292"/>
      <c r="E40" s="74"/>
      <c r="F40" s="230"/>
      <c r="G40" s="75"/>
      <c r="H40" s="231"/>
    </row>
    <row r="41" spans="1:8" ht="21" customHeight="1">
      <c r="A41" s="52"/>
      <c r="B41" s="228"/>
      <c r="C41" s="319" t="s">
        <v>117</v>
      </c>
      <c r="D41" s="292"/>
      <c r="E41" s="74"/>
      <c r="F41" s="76"/>
      <c r="G41" s="76"/>
      <c r="H41" s="231"/>
    </row>
    <row r="42" spans="1:8" ht="21" customHeight="1">
      <c r="A42" s="52"/>
      <c r="B42" s="228"/>
      <c r="C42" s="319" t="s">
        <v>117</v>
      </c>
      <c r="D42" s="292"/>
      <c r="E42" s="74"/>
      <c r="F42" s="230"/>
      <c r="G42" s="230"/>
      <c r="H42" s="231"/>
    </row>
    <row r="43" spans="1:8" ht="13.5" customHeight="1">
      <c r="A43" s="52"/>
      <c r="B43" s="228"/>
      <c r="C43" s="76"/>
      <c r="D43" s="74"/>
      <c r="E43" s="74"/>
      <c r="F43" s="74"/>
      <c r="G43" s="232"/>
      <c r="H43" s="231"/>
    </row>
    <row r="44" spans="1:8" ht="18">
      <c r="A44" s="52"/>
      <c r="B44" s="228"/>
      <c r="C44" s="68" t="s">
        <v>118</v>
      </c>
      <c r="D44" s="68"/>
      <c r="E44" s="68" t="s">
        <v>111</v>
      </c>
      <c r="F44" s="68" t="s">
        <v>112</v>
      </c>
      <c r="G44" s="68" t="s">
        <v>113</v>
      </c>
      <c r="H44" s="231"/>
    </row>
    <row r="45" spans="1:8" ht="23.25" customHeight="1">
      <c r="A45" s="52"/>
      <c r="B45" s="228"/>
      <c r="C45" s="316"/>
      <c r="D45" s="294"/>
      <c r="E45" s="229"/>
      <c r="F45" s="69"/>
      <c r="G45" s="70"/>
      <c r="H45" s="231"/>
    </row>
    <row r="46" spans="1:8" ht="21" customHeight="1">
      <c r="A46" s="52"/>
      <c r="B46" s="228" t="s">
        <v>119</v>
      </c>
      <c r="C46" s="319" t="s">
        <v>117</v>
      </c>
      <c r="D46" s="292"/>
      <c r="E46" s="73"/>
      <c r="F46" s="230"/>
      <c r="G46" s="68" t="s">
        <v>115</v>
      </c>
      <c r="H46" s="231"/>
    </row>
    <row r="47" spans="1:8" ht="21" customHeight="1">
      <c r="A47" s="52"/>
      <c r="B47" s="228"/>
      <c r="C47" s="319" t="s">
        <v>117</v>
      </c>
      <c r="D47" s="292"/>
      <c r="E47" s="74"/>
      <c r="F47" s="230"/>
      <c r="G47" s="75"/>
      <c r="H47" s="231"/>
    </row>
    <row r="48" spans="1:8" ht="21" customHeight="1">
      <c r="A48" s="52"/>
      <c r="B48" s="233"/>
      <c r="C48" s="319" t="s">
        <v>117</v>
      </c>
      <c r="D48" s="292"/>
      <c r="E48" s="74"/>
      <c r="F48" s="74"/>
      <c r="G48" s="232"/>
      <c r="H48" s="231"/>
    </row>
    <row r="49" spans="1:11" ht="21" customHeight="1">
      <c r="A49" s="52"/>
      <c r="B49" s="228"/>
      <c r="C49" s="319" t="s">
        <v>117</v>
      </c>
      <c r="D49" s="292"/>
      <c r="E49" s="74"/>
      <c r="F49" s="74"/>
      <c r="G49" s="232"/>
      <c r="H49" s="231"/>
    </row>
    <row r="50" spans="1:11" ht="13.5" customHeight="1">
      <c r="A50" s="52"/>
      <c r="B50" s="233"/>
      <c r="C50" s="76"/>
      <c r="D50" s="74"/>
      <c r="E50" s="74"/>
      <c r="F50" s="74"/>
      <c r="G50" s="232"/>
      <c r="H50" s="231"/>
    </row>
    <row r="51" spans="1:11" ht="18">
      <c r="A51" s="52"/>
      <c r="B51" s="228"/>
      <c r="C51" s="68" t="s">
        <v>118</v>
      </c>
      <c r="D51" s="68"/>
      <c r="E51" s="68" t="s">
        <v>111</v>
      </c>
      <c r="F51" s="68" t="s">
        <v>112</v>
      </c>
      <c r="G51" s="68" t="s">
        <v>113</v>
      </c>
      <c r="H51" s="231"/>
    </row>
    <row r="52" spans="1:11" ht="23.25" customHeight="1">
      <c r="A52" s="52"/>
      <c r="B52" s="228"/>
      <c r="C52" s="316"/>
      <c r="D52" s="294"/>
      <c r="E52" s="229"/>
      <c r="F52" s="69"/>
      <c r="G52" s="70"/>
      <c r="H52" s="231"/>
    </row>
    <row r="53" spans="1:11" ht="21" customHeight="1">
      <c r="A53" s="52"/>
      <c r="B53" s="228" t="s">
        <v>119</v>
      </c>
      <c r="C53" s="319" t="s">
        <v>117</v>
      </c>
      <c r="D53" s="292"/>
      <c r="E53" s="73"/>
      <c r="F53" s="230"/>
      <c r="G53" s="68" t="s">
        <v>115</v>
      </c>
      <c r="H53" s="231"/>
    </row>
    <row r="54" spans="1:11" ht="21" customHeight="1">
      <c r="A54" s="52"/>
      <c r="B54" s="228"/>
      <c r="C54" s="319" t="s">
        <v>117</v>
      </c>
      <c r="D54" s="292"/>
      <c r="E54" s="74"/>
      <c r="F54" s="230"/>
      <c r="G54" s="75"/>
      <c r="H54" s="231"/>
      <c r="K54" t="s">
        <v>120</v>
      </c>
    </row>
    <row r="55" spans="1:11" ht="21" customHeight="1">
      <c r="A55" s="52"/>
      <c r="B55" s="228"/>
      <c r="C55" s="319" t="s">
        <v>117</v>
      </c>
      <c r="D55" s="292"/>
      <c r="E55" s="74"/>
      <c r="F55" s="74"/>
      <c r="G55" s="232"/>
      <c r="H55" s="231"/>
    </row>
    <row r="56" spans="1:11" ht="21" customHeight="1">
      <c r="A56" s="52"/>
      <c r="B56" s="228"/>
      <c r="C56" s="319" t="s">
        <v>117</v>
      </c>
      <c r="D56" s="292"/>
      <c r="E56" s="74"/>
      <c r="F56" s="74"/>
      <c r="G56" s="232"/>
      <c r="H56" s="231"/>
    </row>
    <row r="57" spans="1:11" ht="13.5" customHeight="1">
      <c r="A57" s="52"/>
      <c r="B57" s="228"/>
      <c r="C57" s="77"/>
      <c r="D57" s="78"/>
      <c r="E57" s="78"/>
      <c r="F57" s="78"/>
      <c r="G57" s="77"/>
      <c r="H57" s="231"/>
    </row>
    <row r="58" spans="1:11" ht="18">
      <c r="A58" s="52"/>
      <c r="B58" s="228"/>
      <c r="C58" s="68" t="s">
        <v>118</v>
      </c>
      <c r="D58" s="68"/>
      <c r="E58" s="68" t="s">
        <v>111</v>
      </c>
      <c r="F58" s="68" t="s">
        <v>112</v>
      </c>
      <c r="G58" s="68" t="s">
        <v>113</v>
      </c>
      <c r="H58" s="231"/>
    </row>
    <row r="59" spans="1:11" ht="23.25" customHeight="1">
      <c r="A59" s="52"/>
      <c r="B59" s="228"/>
      <c r="C59" s="316"/>
      <c r="D59" s="294"/>
      <c r="E59" s="229"/>
      <c r="F59" s="69"/>
      <c r="G59" s="70"/>
      <c r="H59" s="231"/>
    </row>
    <row r="60" spans="1:11" ht="21" customHeight="1">
      <c r="A60" s="52"/>
      <c r="B60" s="228" t="s">
        <v>119</v>
      </c>
      <c r="C60" s="319" t="s">
        <v>117</v>
      </c>
      <c r="D60" s="292"/>
      <c r="E60" s="73"/>
      <c r="F60" s="230"/>
      <c r="G60" s="68" t="s">
        <v>115</v>
      </c>
      <c r="H60" s="231"/>
    </row>
    <row r="61" spans="1:11" ht="21" customHeight="1">
      <c r="A61" s="52"/>
      <c r="B61" s="228"/>
      <c r="C61" s="319" t="s">
        <v>117</v>
      </c>
      <c r="D61" s="292"/>
      <c r="E61" s="74"/>
      <c r="F61" s="230"/>
      <c r="G61" s="75"/>
      <c r="H61" s="231"/>
    </row>
    <row r="62" spans="1:11" ht="21" customHeight="1">
      <c r="A62" s="52"/>
      <c r="B62" s="228"/>
      <c r="C62" s="319" t="s">
        <v>117</v>
      </c>
      <c r="D62" s="292"/>
      <c r="E62" s="74"/>
      <c r="F62" s="74"/>
      <c r="G62" s="232"/>
      <c r="H62" s="231"/>
    </row>
    <row r="63" spans="1:11" ht="21" customHeight="1">
      <c r="A63" s="52"/>
      <c r="B63" s="228"/>
      <c r="C63" s="319" t="s">
        <v>117</v>
      </c>
      <c r="D63" s="292"/>
      <c r="E63" s="74"/>
      <c r="F63" s="74"/>
      <c r="G63" s="232"/>
      <c r="H63" s="231"/>
    </row>
    <row r="64" spans="1:11">
      <c r="A64" s="171"/>
      <c r="B64" s="234"/>
      <c r="C64" s="235"/>
      <c r="D64" s="236"/>
      <c r="E64" s="236"/>
      <c r="F64" s="236"/>
      <c r="G64" s="235"/>
      <c r="H64" s="237"/>
    </row>
    <row r="65" spans="1:8" ht="30.75" customHeight="1">
      <c r="A65" s="171"/>
      <c r="B65" s="238" t="s">
        <v>121</v>
      </c>
      <c r="C65" s="321"/>
      <c r="D65" s="294"/>
      <c r="E65" s="294"/>
      <c r="F65" s="294"/>
      <c r="G65" s="295"/>
      <c r="H65" s="237"/>
    </row>
    <row r="66" spans="1:8">
      <c r="A66" s="171"/>
      <c r="B66" s="79"/>
      <c r="C66" s="239"/>
      <c r="D66" s="240"/>
      <c r="E66" s="240"/>
      <c r="F66" s="240"/>
      <c r="G66" s="239"/>
      <c r="H66" s="241"/>
    </row>
    <row r="67" spans="1:8">
      <c r="A67" s="171"/>
      <c r="B67" s="242"/>
      <c r="C67" s="243"/>
      <c r="D67" s="244"/>
      <c r="E67" s="244"/>
      <c r="F67" s="244"/>
      <c r="G67" s="245"/>
      <c r="H67" s="243"/>
    </row>
    <row r="68" spans="1:8" ht="26.4">
      <c r="A68" s="171"/>
      <c r="B68" s="80" t="s">
        <v>122</v>
      </c>
      <c r="C68" s="81"/>
      <c r="D68" s="81"/>
      <c r="E68" s="81"/>
      <c r="F68" s="81"/>
      <c r="G68" s="81"/>
      <c r="H68" s="82"/>
    </row>
    <row r="69" spans="1:8" ht="15.6">
      <c r="A69" s="246"/>
      <c r="B69" s="247"/>
      <c r="C69" s="248"/>
      <c r="D69" s="248"/>
      <c r="E69" s="249"/>
      <c r="F69" s="249"/>
      <c r="G69" s="250"/>
      <c r="H69" s="251"/>
    </row>
    <row r="70" spans="1:8" ht="15.6">
      <c r="A70" s="246"/>
      <c r="B70" s="252" t="s">
        <v>123</v>
      </c>
      <c r="C70" s="253"/>
      <c r="D70" s="248"/>
      <c r="E70" s="249"/>
      <c r="F70" s="249"/>
      <c r="G70" s="249"/>
      <c r="H70" s="251"/>
    </row>
    <row r="71" spans="1:8" ht="15.6">
      <c r="A71" s="246"/>
      <c r="B71" s="254" t="s">
        <v>124</v>
      </c>
      <c r="C71" s="83"/>
      <c r="D71" s="248"/>
      <c r="E71" s="249"/>
      <c r="F71" s="249"/>
      <c r="G71" s="249"/>
      <c r="H71" s="251"/>
    </row>
    <row r="72" spans="1:8" ht="15.6">
      <c r="A72" s="246"/>
      <c r="B72" s="254" t="s">
        <v>125</v>
      </c>
      <c r="C72" s="83"/>
      <c r="D72" s="248"/>
      <c r="E72" s="249"/>
      <c r="F72" s="249"/>
      <c r="G72" s="249"/>
      <c r="H72" s="251"/>
    </row>
    <row r="73" spans="1:8" ht="15.6">
      <c r="A73" s="246"/>
      <c r="B73" s="254" t="s">
        <v>126</v>
      </c>
      <c r="C73" s="83"/>
      <c r="D73" s="248"/>
      <c r="E73" s="249"/>
      <c r="F73" s="249"/>
      <c r="G73" s="249"/>
      <c r="H73" s="251"/>
    </row>
    <row r="74" spans="1:8" ht="15.6">
      <c r="A74" s="246"/>
      <c r="B74" s="254" t="s">
        <v>127</v>
      </c>
      <c r="C74" s="84">
        <f>C71+C72+C73</f>
        <v>0</v>
      </c>
      <c r="D74" s="248"/>
      <c r="E74" s="249"/>
      <c r="F74" s="249"/>
      <c r="G74" s="249"/>
      <c r="H74" s="251"/>
    </row>
    <row r="75" spans="1:8" ht="18">
      <c r="A75" s="246"/>
      <c r="B75" s="252" t="s">
        <v>128</v>
      </c>
      <c r="C75" s="255"/>
      <c r="D75" s="248"/>
      <c r="E75" s="249"/>
      <c r="F75" s="85" t="s">
        <v>129</v>
      </c>
      <c r="G75" s="249"/>
      <c r="H75" s="251"/>
    </row>
    <row r="76" spans="1:8" ht="18">
      <c r="A76" s="246"/>
      <c r="B76" s="254" t="s">
        <v>124</v>
      </c>
      <c r="C76" s="83"/>
      <c r="D76" s="248"/>
      <c r="E76" s="249"/>
      <c r="F76" s="256"/>
      <c r="G76" s="86" t="b">
        <f>AND(C71&gt;0,C81+C91=0)</f>
        <v>0</v>
      </c>
      <c r="H76" s="251"/>
    </row>
    <row r="77" spans="1:8" ht="18">
      <c r="A77" s="246"/>
      <c r="B77" s="254" t="s">
        <v>125</v>
      </c>
      <c r="C77" s="83"/>
      <c r="D77" s="248"/>
      <c r="E77" s="87" t="s">
        <v>124</v>
      </c>
      <c r="F77" s="271" t="str">
        <f>IFERROR(((C71)/(C81+C91)),"")</f>
        <v/>
      </c>
      <c r="G77" s="88" t="str">
        <f>IF(G76,"No Male Supervising Adults*","")</f>
        <v/>
      </c>
      <c r="H77" s="251"/>
    </row>
    <row r="78" spans="1:8" ht="18">
      <c r="A78" s="246"/>
      <c r="B78" s="254" t="s">
        <v>126</v>
      </c>
      <c r="C78" s="83"/>
      <c r="D78" s="248"/>
      <c r="E78" s="87"/>
      <c r="F78" s="257"/>
      <c r="G78" s="88"/>
      <c r="H78" s="251"/>
    </row>
    <row r="79" spans="1:8" ht="18">
      <c r="A79" s="246"/>
      <c r="B79" s="254" t="s">
        <v>127</v>
      </c>
      <c r="C79" s="84">
        <f>C76+C77+C78</f>
        <v>0</v>
      </c>
      <c r="D79" s="248"/>
      <c r="E79" s="249"/>
      <c r="F79" s="258"/>
      <c r="G79" s="86" t="b">
        <f>AND(C72&gt;0,C82+C92=0)</f>
        <v>0</v>
      </c>
      <c r="H79" s="251"/>
    </row>
    <row r="80" spans="1:8" ht="18">
      <c r="A80" s="246"/>
      <c r="B80" s="252" t="s">
        <v>130</v>
      </c>
      <c r="C80" s="255"/>
      <c r="D80" s="248"/>
      <c r="E80" s="87" t="s">
        <v>125</v>
      </c>
      <c r="F80" s="271" t="str">
        <f>IFERROR(((C72)/(C82+C92)),"")</f>
        <v/>
      </c>
      <c r="G80" s="88" t="str">
        <f>IF(G79,"No Female Supervising Adults*","")</f>
        <v/>
      </c>
      <c r="H80" s="251"/>
    </row>
    <row r="81" spans="1:8" ht="18">
      <c r="A81" s="246"/>
      <c r="B81" s="254" t="s">
        <v>124</v>
      </c>
      <c r="C81" s="83"/>
      <c r="D81" s="248"/>
      <c r="E81" s="249"/>
      <c r="F81" s="258"/>
      <c r="G81" s="88"/>
      <c r="H81" s="251"/>
    </row>
    <row r="82" spans="1:8" ht="18">
      <c r="A82" s="246"/>
      <c r="B82" s="254" t="s">
        <v>125</v>
      </c>
      <c r="C82" s="83"/>
      <c r="D82" s="248"/>
      <c r="E82" s="249"/>
      <c r="F82" s="258"/>
      <c r="G82" s="86" t="b">
        <f>AND(C73&gt;0,C83+C93=0)</f>
        <v>0</v>
      </c>
      <c r="H82" s="251"/>
    </row>
    <row r="83" spans="1:8" ht="18">
      <c r="A83" s="246"/>
      <c r="B83" s="254" t="s">
        <v>126</v>
      </c>
      <c r="C83" s="83"/>
      <c r="D83" s="248"/>
      <c r="E83" s="87" t="s">
        <v>126</v>
      </c>
      <c r="F83" s="271" t="str">
        <f>IFERROR(((C73)/(C83+C93)),"")</f>
        <v/>
      </c>
      <c r="G83" s="88" t="str">
        <f>IF(G82,"No Another Gender Supervising Adults*","")</f>
        <v/>
      </c>
      <c r="H83" s="251"/>
    </row>
    <row r="84" spans="1:8" ht="18">
      <c r="A84" s="246"/>
      <c r="B84" s="254" t="s">
        <v>127</v>
      </c>
      <c r="C84" s="84">
        <f>C81+C82+C83</f>
        <v>0</v>
      </c>
      <c r="D84" s="248"/>
      <c r="E84" s="249"/>
      <c r="F84" s="258"/>
      <c r="G84" s="88"/>
      <c r="H84" s="251"/>
    </row>
    <row r="85" spans="1:8" ht="18">
      <c r="A85" s="246"/>
      <c r="B85" s="252" t="s">
        <v>131</v>
      </c>
      <c r="C85" s="255"/>
      <c r="D85" s="248"/>
      <c r="E85" s="249"/>
      <c r="F85" s="258"/>
      <c r="G85" s="88"/>
      <c r="H85" s="251"/>
    </row>
    <row r="86" spans="1:8" ht="18">
      <c r="A86" s="246"/>
      <c r="B86" s="254" t="s">
        <v>124</v>
      </c>
      <c r="C86" s="83"/>
      <c r="D86" s="248"/>
      <c r="E86" s="87" t="s">
        <v>132</v>
      </c>
      <c r="F86" s="271" t="str">
        <f>IFERROR((C74)/(C84+C94), "")</f>
        <v/>
      </c>
      <c r="G86" s="322" t="str">
        <f>CONCATENATE(IF(OR(G82,G79,G76),"*Note the activity can still go ahead, however parents must be advised.",""),CHAR(10),CHAR(10),IF(SUM(C79,C84,C94)=1,"There is only one adult attending (note that Carers do not add to this total) the activity should not go ahead as per Scouts Australia's Child Protection Policy.",""))</f>
        <v xml:space="preserve">
</v>
      </c>
      <c r="H86" s="251"/>
    </row>
    <row r="87" spans="1:8" ht="15.6">
      <c r="A87" s="246"/>
      <c r="B87" s="254" t="s">
        <v>125</v>
      </c>
      <c r="C87" s="83"/>
      <c r="D87" s="248"/>
      <c r="E87" s="249"/>
      <c r="F87" s="248"/>
      <c r="G87" s="309"/>
      <c r="H87" s="251"/>
    </row>
    <row r="88" spans="1:8" ht="15.6">
      <c r="A88" s="33"/>
      <c r="B88" s="254" t="s">
        <v>126</v>
      </c>
      <c r="C88" s="83"/>
      <c r="D88" s="248"/>
      <c r="E88" s="249"/>
      <c r="F88" s="248"/>
      <c r="G88" s="309"/>
      <c r="H88" s="251"/>
    </row>
    <row r="89" spans="1:8" ht="15.6">
      <c r="A89" s="33"/>
      <c r="B89" s="254" t="s">
        <v>127</v>
      </c>
      <c r="C89" s="84">
        <f>C86+C87+C88</f>
        <v>0</v>
      </c>
      <c r="D89" s="248"/>
      <c r="E89" s="249"/>
      <c r="F89" s="248"/>
      <c r="G89" s="309"/>
      <c r="H89" s="251"/>
    </row>
    <row r="90" spans="1:8" ht="15.6">
      <c r="A90" s="33"/>
      <c r="B90" s="252" t="s">
        <v>133</v>
      </c>
      <c r="C90" s="255"/>
      <c r="D90" s="249"/>
      <c r="E90" s="249"/>
      <c r="F90" s="248"/>
      <c r="G90" s="309"/>
      <c r="H90" s="251"/>
    </row>
    <row r="91" spans="1:8" ht="15.6">
      <c r="A91" s="33"/>
      <c r="B91" s="254" t="s">
        <v>124</v>
      </c>
      <c r="C91" s="83"/>
      <c r="D91" s="249"/>
      <c r="E91" s="249"/>
      <c r="F91" s="248"/>
      <c r="G91" s="309"/>
      <c r="H91" s="251"/>
    </row>
    <row r="92" spans="1:8" ht="15.6">
      <c r="A92" s="33"/>
      <c r="B92" s="254" t="s">
        <v>125</v>
      </c>
      <c r="C92" s="83"/>
      <c r="D92" s="249"/>
      <c r="E92" s="249"/>
      <c r="F92" s="248"/>
      <c r="G92" s="309"/>
      <c r="H92" s="251"/>
    </row>
    <row r="93" spans="1:8" ht="15.6">
      <c r="A93" s="33"/>
      <c r="B93" s="254" t="s">
        <v>126</v>
      </c>
      <c r="C93" s="83"/>
      <c r="D93" s="249"/>
      <c r="E93" s="249"/>
      <c r="F93" s="248"/>
      <c r="G93" s="309"/>
      <c r="H93" s="251"/>
    </row>
    <row r="94" spans="1:8" ht="15.6">
      <c r="A94" s="33"/>
      <c r="B94" s="254" t="s">
        <v>127</v>
      </c>
      <c r="C94" s="84">
        <f>C91+C92+C93</f>
        <v>0</v>
      </c>
      <c r="D94" s="249"/>
      <c r="E94" s="249"/>
      <c r="F94" s="248"/>
      <c r="G94" s="309"/>
      <c r="H94" s="251"/>
    </row>
    <row r="95" spans="1:8" ht="24" customHeight="1">
      <c r="A95" s="33"/>
      <c r="B95" s="254"/>
      <c r="C95" s="84"/>
      <c r="D95" s="249"/>
      <c r="E95" s="249"/>
      <c r="F95" s="248"/>
      <c r="G95" s="309"/>
      <c r="H95" s="251"/>
    </row>
    <row r="96" spans="1:8" ht="15.6">
      <c r="A96" s="33"/>
      <c r="B96" s="259"/>
      <c r="C96" s="260"/>
      <c r="D96" s="261"/>
      <c r="E96" s="261"/>
      <c r="F96" s="261"/>
      <c r="G96" s="261"/>
      <c r="H96" s="262"/>
    </row>
    <row r="97" spans="1:8">
      <c r="A97" s="52"/>
      <c r="B97" s="89"/>
      <c r="C97" s="89"/>
      <c r="D97" s="89"/>
      <c r="E97" s="52"/>
      <c r="F97" s="90"/>
      <c r="G97" s="90"/>
      <c r="H97" s="90"/>
    </row>
  </sheetData>
  <mergeCells count="40">
    <mergeCell ref="C52:D52"/>
    <mergeCell ref="C62:D62"/>
    <mergeCell ref="C63:D63"/>
    <mergeCell ref="C65:G65"/>
    <mergeCell ref="G86:G95"/>
    <mergeCell ref="C53:D53"/>
    <mergeCell ref="C54:D54"/>
    <mergeCell ref="C55:D55"/>
    <mergeCell ref="C56:D56"/>
    <mergeCell ref="C59:D59"/>
    <mergeCell ref="C60:D60"/>
    <mergeCell ref="C61:D61"/>
    <mergeCell ref="C45:D45"/>
    <mergeCell ref="C46:D46"/>
    <mergeCell ref="C47:D47"/>
    <mergeCell ref="C48:D48"/>
    <mergeCell ref="C49:D49"/>
    <mergeCell ref="C27:G27"/>
    <mergeCell ref="C38:D38"/>
    <mergeCell ref="C40:D40"/>
    <mergeCell ref="C41:D41"/>
    <mergeCell ref="C42:D42"/>
    <mergeCell ref="C33:E33"/>
    <mergeCell ref="H11:H15"/>
    <mergeCell ref="E21:G21"/>
    <mergeCell ref="C21:D21"/>
    <mergeCell ref="C23:E23"/>
    <mergeCell ref="C25:D25"/>
    <mergeCell ref="F7:G7"/>
    <mergeCell ref="C7:D7"/>
    <mergeCell ref="C8:D8"/>
    <mergeCell ref="F8:G8"/>
    <mergeCell ref="C9:D9"/>
    <mergeCell ref="F9:G9"/>
    <mergeCell ref="A1:H1"/>
    <mergeCell ref="C4:D4"/>
    <mergeCell ref="C5:D5"/>
    <mergeCell ref="F5:G5"/>
    <mergeCell ref="C6:D6"/>
    <mergeCell ref="F6:G6"/>
  </mergeCells>
  <dataValidations count="1">
    <dataValidation type="custom" allowBlank="1" showDropDown="1" sqref="G38 G45 G52 G59" xr:uid="{00000000-0002-0000-0200-000003000000}">
      <formula1>NOT(ISERROR(SEARCH(("@"),(G38))))</formula1>
    </dataValidation>
  </dataValidations>
  <printOptions horizontalCentered="1"/>
  <pageMargins left="0.7" right="0.7" top="0.75" bottom="0.75" header="0" footer="0"/>
  <pageSetup paperSize="9" scale="3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3</xdr:col>
                    <xdr:colOff>106680</xdr:colOff>
                    <xdr:row>9</xdr:row>
                    <xdr:rowOff>114300</xdr:rowOff>
                  </from>
                  <to>
                    <xdr:col>3</xdr:col>
                    <xdr:colOff>327660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3</xdr:col>
                    <xdr:colOff>106680</xdr:colOff>
                    <xdr:row>10</xdr:row>
                    <xdr:rowOff>190500</xdr:rowOff>
                  </from>
                  <to>
                    <xdr:col>3</xdr:col>
                    <xdr:colOff>327660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3</xdr:col>
                    <xdr:colOff>106680</xdr:colOff>
                    <xdr:row>11</xdr:row>
                    <xdr:rowOff>198120</xdr:rowOff>
                  </from>
                  <to>
                    <xdr:col>3</xdr:col>
                    <xdr:colOff>327660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3</xdr:col>
                    <xdr:colOff>106680</xdr:colOff>
                    <xdr:row>14</xdr:row>
                    <xdr:rowOff>0</xdr:rowOff>
                  </from>
                  <to>
                    <xdr:col>3</xdr:col>
                    <xdr:colOff>327660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3</xdr:col>
                    <xdr:colOff>106680</xdr:colOff>
                    <xdr:row>12</xdr:row>
                    <xdr:rowOff>190500</xdr:rowOff>
                  </from>
                  <to>
                    <xdr:col>3</xdr:col>
                    <xdr:colOff>327660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3</xdr:col>
                    <xdr:colOff>106680</xdr:colOff>
                    <xdr:row>15</xdr:row>
                    <xdr:rowOff>0</xdr:rowOff>
                  </from>
                  <to>
                    <xdr:col>3</xdr:col>
                    <xdr:colOff>327660</xdr:colOff>
                    <xdr:row>16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and enter a value from the drop-down list" xr:uid="{00000000-0002-0000-0200-000000000000}">
          <x14:formula1>
            <xm:f>Lookups!$R$5:$R$27</xm:f>
          </x14:formula1>
          <xm:sqref>C40:C42 C46:C49 C53:C56 C60:C63</xm:sqref>
        </x14:dataValidation>
        <x14:dataValidation type="list" allowBlank="1" xr:uid="{00000000-0002-0000-0200-000001000000}">
          <x14:formula1>
            <xm:f>Lookups!$C$5:$C$155</xm:f>
          </x14:formula1>
          <xm:sqref>C5:C9</xm:sqref>
        </x14:dataValidation>
        <x14:dataValidation type="list" allowBlank="1" xr:uid="{00000000-0002-0000-0200-000002000000}">
          <x14:formula1>
            <xm:f>Lookups!$I$17:$I$22</xm:f>
          </x14:formula1>
          <xm:sqref>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pageSetUpPr fitToPage="1"/>
  </sheetPr>
  <dimension ref="A1:J33"/>
  <sheetViews>
    <sheetView showGridLines="0" view="pageBreakPreview" zoomScale="60" zoomScaleNormal="100" workbookViewId="0">
      <selection activeCell="E11" sqref="E11"/>
    </sheetView>
  </sheetViews>
  <sheetFormatPr defaultColWidth="20.1640625" defaultRowHeight="15" customHeight="1"/>
  <cols>
    <col min="1" max="1" width="12.6640625" customWidth="1"/>
    <col min="2" max="3" width="40.33203125" customWidth="1"/>
    <col min="4" max="5" width="12.33203125" customWidth="1"/>
    <col min="6" max="6" width="26.83203125" customWidth="1"/>
    <col min="7" max="7" width="50.6640625" customWidth="1"/>
    <col min="8" max="9" width="12.33203125" customWidth="1"/>
    <col min="10" max="10" width="26.83203125" customWidth="1"/>
  </cols>
  <sheetData>
    <row r="1" spans="1:10" ht="91.5" customHeight="1">
      <c r="A1" s="276"/>
      <c r="B1" s="276"/>
      <c r="C1" s="276"/>
      <c r="D1" s="276"/>
      <c r="E1" s="276"/>
      <c r="F1" s="276"/>
      <c r="G1" s="276"/>
      <c r="H1" s="276"/>
      <c r="I1" s="276"/>
      <c r="J1" s="276"/>
    </row>
    <row r="2" spans="1:10" ht="36" customHeight="1">
      <c r="A2" s="338" t="s">
        <v>134</v>
      </c>
      <c r="B2" s="338"/>
      <c r="C2" s="338"/>
      <c r="D2" s="338"/>
      <c r="E2" s="338"/>
      <c r="F2" s="338"/>
      <c r="G2" s="338"/>
      <c r="H2" s="338"/>
      <c r="I2" s="338"/>
      <c r="J2" s="338"/>
    </row>
    <row r="3" spans="1:10" ht="24" customHeight="1">
      <c r="A3" s="116" t="s">
        <v>135</v>
      </c>
      <c r="B3" s="115"/>
      <c r="C3" s="117"/>
      <c r="D3" s="157"/>
      <c r="E3" s="115"/>
      <c r="F3" s="157"/>
      <c r="G3" s="118"/>
      <c r="H3" s="119"/>
      <c r="I3" s="120"/>
      <c r="J3" s="121"/>
    </row>
    <row r="4" spans="1:10" ht="33" customHeight="1">
      <c r="A4" s="331" t="s">
        <v>136</v>
      </c>
      <c r="B4" s="332"/>
      <c r="C4" s="332"/>
      <c r="D4" s="332"/>
      <c r="E4" s="332"/>
      <c r="F4" s="333"/>
      <c r="G4" s="334" t="s">
        <v>137</v>
      </c>
      <c r="H4" s="332"/>
      <c r="I4" s="332"/>
      <c r="J4" s="335"/>
    </row>
    <row r="5" spans="1:10" ht="35.25" customHeight="1">
      <c r="A5" s="122" t="s">
        <v>138</v>
      </c>
      <c r="B5" s="123" t="s">
        <v>139</v>
      </c>
      <c r="C5" s="124" t="s">
        <v>140</v>
      </c>
      <c r="D5" s="125" t="s">
        <v>141</v>
      </c>
      <c r="E5" s="126" t="s">
        <v>142</v>
      </c>
      <c r="F5" s="127" t="s">
        <v>143</v>
      </c>
      <c r="G5" s="124" t="s">
        <v>34</v>
      </c>
      <c r="H5" s="128" t="s">
        <v>144</v>
      </c>
      <c r="I5" s="128" t="s">
        <v>145</v>
      </c>
      <c r="J5" s="129" t="s">
        <v>146</v>
      </c>
    </row>
    <row r="6" spans="1:10" ht="35.25" customHeight="1">
      <c r="A6" s="130" t="s">
        <v>147</v>
      </c>
      <c r="B6" s="131" t="s">
        <v>148</v>
      </c>
      <c r="C6" s="132" t="s">
        <v>149</v>
      </c>
      <c r="D6" s="133" t="s">
        <v>150</v>
      </c>
      <c r="E6" s="133" t="s">
        <v>151</v>
      </c>
      <c r="F6" s="134" t="s">
        <v>152</v>
      </c>
      <c r="G6" s="132" t="s">
        <v>153</v>
      </c>
      <c r="H6" s="133" t="s">
        <v>150</v>
      </c>
      <c r="I6" s="133" t="s">
        <v>154</v>
      </c>
      <c r="J6" s="135" t="s">
        <v>155</v>
      </c>
    </row>
    <row r="7" spans="1:10" ht="35.25" customHeight="1">
      <c r="A7" s="130" t="s">
        <v>147</v>
      </c>
      <c r="B7" s="131" t="s">
        <v>156</v>
      </c>
      <c r="C7" s="132" t="s">
        <v>157</v>
      </c>
      <c r="D7" s="133" t="s">
        <v>141</v>
      </c>
      <c r="E7" s="133" t="s">
        <v>150</v>
      </c>
      <c r="F7" s="134" t="s">
        <v>158</v>
      </c>
      <c r="G7" s="132" t="s">
        <v>159</v>
      </c>
      <c r="H7" s="133" t="s">
        <v>154</v>
      </c>
      <c r="I7" s="133" t="s">
        <v>154</v>
      </c>
      <c r="J7" s="135" t="s">
        <v>155</v>
      </c>
    </row>
    <row r="8" spans="1:10" ht="35.25" customHeight="1">
      <c r="A8" s="136" t="s">
        <v>160</v>
      </c>
      <c r="B8" s="137"/>
      <c r="C8" s="138"/>
      <c r="D8" s="139"/>
      <c r="E8" s="139"/>
      <c r="F8" s="160" t="str">
        <f>IFERROR(VLOOKUP(_xlfn.CONCAT(D8,E8),Lookups!$Y$5:$Z$29,2,FALSE),"")</f>
        <v/>
      </c>
      <c r="G8" s="140"/>
      <c r="H8" s="139"/>
      <c r="I8" s="139"/>
      <c r="J8" s="135" t="str">
        <f>IFERROR(VLOOKUP(_xlfn.CONCAT(H8,I8),Lookups!$Y$5:$Z$29,2,FALSE),"")</f>
        <v/>
      </c>
    </row>
    <row r="9" spans="1:10" ht="35.25" customHeight="1">
      <c r="A9" s="136" t="s">
        <v>161</v>
      </c>
      <c r="B9" s="141"/>
      <c r="C9" s="142"/>
      <c r="D9" s="143"/>
      <c r="E9" s="143"/>
      <c r="F9" s="160" t="str">
        <f>IFERROR(VLOOKUP(_xlfn.CONCAT(D9,E9),Lookups!$Y$5:$Z$29,2,FALSE),"")</f>
        <v/>
      </c>
      <c r="G9" s="144"/>
      <c r="H9" s="143"/>
      <c r="I9" s="143"/>
      <c r="J9" s="135" t="str">
        <f>IFERROR(VLOOKUP(_xlfn.CONCAT(H9,I9),Lookups!$Y$5:$Z$29,2,FALSE),"")</f>
        <v/>
      </c>
    </row>
    <row r="10" spans="1:10" ht="35.25" customHeight="1">
      <c r="A10" s="136" t="s">
        <v>162</v>
      </c>
      <c r="B10" s="141"/>
      <c r="C10" s="142"/>
      <c r="D10" s="143"/>
      <c r="E10" s="143"/>
      <c r="F10" s="160" t="str">
        <f>IFERROR(VLOOKUP(_xlfn.CONCAT(D10,E10),Lookups!$Y$5:$Z$29,2,FALSE),"")</f>
        <v/>
      </c>
      <c r="G10" s="144"/>
      <c r="H10" s="143"/>
      <c r="I10" s="143"/>
      <c r="J10" s="160" t="str">
        <f>IFERROR(VLOOKUP(_xlfn.CONCAT(H10,I10),Lookups!$Y$5:$Z$29,2,FALSE),"")</f>
        <v/>
      </c>
    </row>
    <row r="11" spans="1:10" ht="35.25" customHeight="1">
      <c r="A11" s="136" t="s">
        <v>163</v>
      </c>
      <c r="B11" s="141"/>
      <c r="C11" s="142"/>
      <c r="D11" s="143"/>
      <c r="E11" s="143"/>
      <c r="F11" s="160" t="str">
        <f>IFERROR(VLOOKUP(_xlfn.CONCAT(D11,E11),Lookups!$Y$5:$Z$29,2,FALSE),"")</f>
        <v/>
      </c>
      <c r="G11" s="144"/>
      <c r="H11" s="143"/>
      <c r="I11" s="143"/>
      <c r="J11" s="160" t="str">
        <f>IFERROR(VLOOKUP(_xlfn.CONCAT(H11,I11),Lookups!$Y$5:$Z$29,2,FALSE),"")</f>
        <v/>
      </c>
    </row>
    <row r="12" spans="1:10" ht="35.25" customHeight="1">
      <c r="A12" s="136" t="s">
        <v>164</v>
      </c>
      <c r="B12" s="145"/>
      <c r="C12" s="142"/>
      <c r="D12" s="143"/>
      <c r="E12" s="143"/>
      <c r="F12" s="160" t="str">
        <f>IFERROR(VLOOKUP(_xlfn.CONCAT(D12,E12),Lookups!$Y$5:$Z$29,2,FALSE),"")</f>
        <v/>
      </c>
      <c r="G12" s="144"/>
      <c r="H12" s="143"/>
      <c r="I12" s="143"/>
      <c r="J12" s="135" t="str">
        <f>IFERROR(VLOOKUP(_xlfn.CONCAT(H12,I12),Lookups!$Y$5:$Z$29,2,FALSE),"")</f>
        <v/>
      </c>
    </row>
    <row r="13" spans="1:10" ht="35.25" customHeight="1">
      <c r="A13" s="136" t="s">
        <v>165</v>
      </c>
      <c r="B13" s="141"/>
      <c r="C13" s="142"/>
      <c r="D13" s="143"/>
      <c r="E13" s="143"/>
      <c r="F13" s="160" t="str">
        <f>IFERROR(VLOOKUP(_xlfn.CONCAT(D13,E13),Lookups!$Y$5:$Z$29,2,FALSE),"")</f>
        <v/>
      </c>
      <c r="G13" s="144"/>
      <c r="H13" s="143"/>
      <c r="I13" s="143"/>
      <c r="J13" s="160" t="str">
        <f>IFERROR(VLOOKUP(_xlfn.CONCAT(H13,I13),Lookups!$Y$5:$Z$29,2,FALSE),"")</f>
        <v/>
      </c>
    </row>
    <row r="14" spans="1:10" ht="35.25" customHeight="1">
      <c r="A14" s="136" t="s">
        <v>166</v>
      </c>
      <c r="B14" s="145"/>
      <c r="C14" s="146"/>
      <c r="D14" s="143"/>
      <c r="E14" s="143"/>
      <c r="F14" s="160" t="str">
        <f>IFERROR(VLOOKUP(_xlfn.CONCAT(D14,E14),Lookups!$Y$5:$Z$29,2,FALSE),"")</f>
        <v/>
      </c>
      <c r="G14" s="144"/>
      <c r="H14" s="143"/>
      <c r="I14" s="143"/>
      <c r="J14" s="160" t="str">
        <f>IFERROR(VLOOKUP(_xlfn.CONCAT(H14,I14),Lookups!$Y$5:$Z$29,2,FALSE),"")</f>
        <v/>
      </c>
    </row>
    <row r="15" spans="1:10" ht="35.25" customHeight="1">
      <c r="A15" s="136" t="s">
        <v>167</v>
      </c>
      <c r="B15" s="145"/>
      <c r="C15" s="146"/>
      <c r="D15" s="143"/>
      <c r="E15" s="143"/>
      <c r="F15" s="160" t="str">
        <f>IFERROR(VLOOKUP(_xlfn.CONCAT(D15,E15),Lookups!$Y$5:$Z$29,2,FALSE),"")</f>
        <v/>
      </c>
      <c r="G15" s="147"/>
      <c r="H15" s="143"/>
      <c r="I15" s="143"/>
      <c r="J15" s="160" t="str">
        <f>IFERROR(VLOOKUP(_xlfn.CONCAT(H15,I15),Lookups!$Y$5:$Z$29,2,FALSE),"")</f>
        <v/>
      </c>
    </row>
    <row r="16" spans="1:10" ht="35.25" customHeight="1">
      <c r="A16" s="136" t="s">
        <v>168</v>
      </c>
      <c r="B16" s="141"/>
      <c r="C16" s="142"/>
      <c r="D16" s="143"/>
      <c r="E16" s="143"/>
      <c r="F16" s="160" t="str">
        <f>IFERROR(VLOOKUP(_xlfn.CONCAT(D16,E16),Lookups!$Y$5:$Z$29,2,FALSE),"")</f>
        <v/>
      </c>
      <c r="G16" s="147"/>
      <c r="H16" s="143"/>
      <c r="I16" s="143"/>
      <c r="J16" s="160" t="str">
        <f>IFERROR(VLOOKUP(_xlfn.CONCAT(H16,I16),Lookups!$Y$5:$Z$29,2,FALSE),"")</f>
        <v/>
      </c>
    </row>
    <row r="17" spans="1:10" ht="35.25" customHeight="1">
      <c r="A17" s="136" t="s">
        <v>169</v>
      </c>
      <c r="B17" s="141"/>
      <c r="C17" s="146"/>
      <c r="D17" s="143"/>
      <c r="E17" s="143"/>
      <c r="F17" s="160" t="str">
        <f>IFERROR(VLOOKUP(_xlfn.CONCAT(D17,E17),Lookups!$Y$5:$Z$29,2,FALSE),"")</f>
        <v/>
      </c>
      <c r="G17" s="144"/>
      <c r="H17" s="143"/>
      <c r="I17" s="143"/>
      <c r="J17" s="160" t="str">
        <f>IFERROR(VLOOKUP(_xlfn.CONCAT(H17,I17),Lookups!$Y$5:$Z$29,2,FALSE),"")</f>
        <v/>
      </c>
    </row>
    <row r="18" spans="1:10" ht="35.25" customHeight="1">
      <c r="A18" s="136" t="s">
        <v>170</v>
      </c>
      <c r="B18" s="141"/>
      <c r="C18" s="142"/>
      <c r="D18" s="143"/>
      <c r="E18" s="143"/>
      <c r="F18" s="160" t="str">
        <f>IFERROR(VLOOKUP(_xlfn.CONCAT(D18,E18),Lookups!$Y$5:$Z$29,2,FALSE),"")</f>
        <v/>
      </c>
      <c r="G18" s="148"/>
      <c r="H18" s="143"/>
      <c r="I18" s="143"/>
      <c r="J18" s="160" t="str">
        <f>IFERROR(VLOOKUP(_xlfn.CONCAT(H18,I18),Lookups!$Y$5:$Z$29,2,FALSE),"")</f>
        <v/>
      </c>
    </row>
    <row r="19" spans="1:10" ht="35.25" customHeight="1">
      <c r="A19" s="136" t="s">
        <v>171</v>
      </c>
      <c r="B19" s="145"/>
      <c r="C19" s="142"/>
      <c r="D19" s="143"/>
      <c r="E19" s="143"/>
      <c r="F19" s="160" t="str">
        <f>IFERROR(VLOOKUP(_xlfn.CONCAT(D19,E19),Lookups!$Y$5:$Z$29,2,FALSE),"")</f>
        <v/>
      </c>
      <c r="G19" s="148"/>
      <c r="H19" s="143"/>
      <c r="I19" s="143"/>
      <c r="J19" s="135" t="str">
        <f>IFERROR(VLOOKUP(_xlfn.CONCAT(H19,I19),Lookups!$Y$5:$Z$29,2,FALSE),"")</f>
        <v/>
      </c>
    </row>
    <row r="20" spans="1:10" ht="35.25" customHeight="1">
      <c r="A20" s="136" t="s">
        <v>172</v>
      </c>
      <c r="B20" s="263"/>
      <c r="C20" s="264"/>
      <c r="D20" s="265"/>
      <c r="E20" s="265"/>
      <c r="F20" s="160" t="str">
        <f>IFERROR(VLOOKUP(_xlfn.CONCAT(D20,E20),Lookups!$Y$5:$Z$29,2,FALSE),"")</f>
        <v/>
      </c>
      <c r="G20" s="266"/>
      <c r="H20" s="265"/>
      <c r="I20" s="265"/>
      <c r="J20" s="160" t="str">
        <f>IFERROR(VLOOKUP(_xlfn.CONCAT(H20,I20),Lookups!$Y$5:$Z$29,2,FALSE),"")</f>
        <v/>
      </c>
    </row>
    <row r="21" spans="1:10" ht="35.25" customHeight="1">
      <c r="A21" s="136" t="s">
        <v>173</v>
      </c>
      <c r="B21" s="263"/>
      <c r="C21" s="264"/>
      <c r="D21" s="265"/>
      <c r="E21" s="265"/>
      <c r="F21" s="160" t="str">
        <f>IFERROR(VLOOKUP(_xlfn.CONCAT(D21,E21),Lookups!$Y$5:$Z$29,2,FALSE),"")</f>
        <v/>
      </c>
      <c r="G21" s="266"/>
      <c r="H21" s="265"/>
      <c r="I21" s="265"/>
      <c r="J21" s="160" t="str">
        <f>IFERROR(VLOOKUP(_xlfn.CONCAT(H21,I21),Lookups!$Y$5:$Z$29,2,FALSE),"")</f>
        <v/>
      </c>
    </row>
    <row r="22" spans="1:10" ht="35.25" customHeight="1">
      <c r="A22" s="136" t="s">
        <v>174</v>
      </c>
      <c r="B22" s="263"/>
      <c r="C22" s="264"/>
      <c r="D22" s="265"/>
      <c r="E22" s="265"/>
      <c r="F22" s="160" t="str">
        <f>IFERROR(VLOOKUP(_xlfn.CONCAT(D22,E22),Lookups!$Y$5:$Z$29,2,FALSE),"")</f>
        <v/>
      </c>
      <c r="G22" s="266"/>
      <c r="H22" s="265"/>
      <c r="I22" s="265"/>
      <c r="J22" s="160" t="str">
        <f>IFERROR(VLOOKUP(_xlfn.CONCAT(H22,I22),Lookups!$Y$5:$Z$29,2,FALSE),"")</f>
        <v/>
      </c>
    </row>
    <row r="23" spans="1:10" ht="35.25" customHeight="1">
      <c r="A23" s="136" t="s">
        <v>175</v>
      </c>
      <c r="B23" s="267"/>
      <c r="C23" s="264"/>
      <c r="D23" s="265"/>
      <c r="E23" s="265"/>
      <c r="F23" s="160" t="str">
        <f>IFERROR(VLOOKUP(_xlfn.CONCAT(D23,E23),Lookups!$Y$5:$Z$29,2,FALSE),"")</f>
        <v/>
      </c>
      <c r="G23" s="266"/>
      <c r="H23" s="265"/>
      <c r="I23" s="265"/>
      <c r="J23" s="135" t="str">
        <f>IFERROR(VLOOKUP(_xlfn.CONCAT(H23,I23),Lookups!$Y$5:$Z$29,2,FALSE),"")</f>
        <v/>
      </c>
    </row>
    <row r="24" spans="1:10" ht="35.25" customHeight="1">
      <c r="A24" s="136" t="s">
        <v>176</v>
      </c>
      <c r="B24" s="267"/>
      <c r="C24" s="264"/>
      <c r="D24" s="265"/>
      <c r="E24" s="265"/>
      <c r="F24" s="160" t="str">
        <f>IFERROR(VLOOKUP(_xlfn.CONCAT(D24,E24),Lookups!$Y$5:$Z$29,2,FALSE),"")</f>
        <v/>
      </c>
      <c r="G24" s="264"/>
      <c r="H24" s="265"/>
      <c r="I24" s="265"/>
      <c r="J24" s="160" t="str">
        <f>IFERROR(VLOOKUP(_xlfn.CONCAT(H24,I24),Lookups!$Y$5:$Z$29,2,FALSE),"")</f>
        <v/>
      </c>
    </row>
    <row r="25" spans="1:10" ht="35.25" customHeight="1">
      <c r="A25" s="136" t="s">
        <v>177</v>
      </c>
      <c r="B25" s="267"/>
      <c r="C25" s="264"/>
      <c r="D25" s="265"/>
      <c r="E25" s="265"/>
      <c r="F25" s="160" t="str">
        <f>IFERROR(VLOOKUP(_xlfn.CONCAT(D25,E25),Lookups!$Y$5:$Z$29,2,FALSE),"")</f>
        <v/>
      </c>
      <c r="G25" s="264"/>
      <c r="H25" s="265"/>
      <c r="I25" s="265"/>
      <c r="J25" s="135" t="str">
        <f>IFERROR(VLOOKUP(_xlfn.CONCAT(H25,I25),Lookups!$Y$5:$Z$29,2,FALSE),"")</f>
        <v/>
      </c>
    </row>
    <row r="26" spans="1:10" ht="35.25" customHeight="1">
      <c r="A26" s="136" t="s">
        <v>178</v>
      </c>
      <c r="B26" s="267"/>
      <c r="C26" s="264"/>
      <c r="D26" s="265"/>
      <c r="E26" s="265"/>
      <c r="F26" s="160" t="str">
        <f>IFERROR(VLOOKUP(_xlfn.CONCAT(D26,E26),Lookups!$Y$5:$Z$29,2,FALSE),"")</f>
        <v/>
      </c>
      <c r="G26" s="264"/>
      <c r="H26" s="265"/>
      <c r="I26" s="265"/>
      <c r="J26" s="135" t="str">
        <f>IFERROR(VLOOKUP(_xlfn.CONCAT(H26,I26),Lookups!$Y$5:$Z$29,2,FALSE),"")</f>
        <v/>
      </c>
    </row>
    <row r="27" spans="1:10" ht="35.25" customHeight="1">
      <c r="A27" s="149" t="s">
        <v>179</v>
      </c>
      <c r="B27" s="150"/>
      <c r="C27" s="151"/>
      <c r="D27" s="152"/>
      <c r="E27" s="152"/>
      <c r="F27" s="160" t="str">
        <f>IFERROR(VLOOKUP(_xlfn.CONCAT(D27,E27),Lookups!$Y$5:$Z$29,2,FALSE),"")</f>
        <v/>
      </c>
      <c r="G27" s="153"/>
      <c r="H27" s="154"/>
      <c r="I27" s="154"/>
      <c r="J27" s="135" t="str">
        <f>IFERROR(VLOOKUP(_xlfn.CONCAT(H27,I27),Lookups!$Y$5:$Z$29,2,FALSE),"")</f>
        <v/>
      </c>
    </row>
    <row r="28" spans="1:10" ht="30" customHeight="1">
      <c r="A28" s="323"/>
      <c r="B28" s="276"/>
      <c r="C28" s="276"/>
      <c r="D28" s="276"/>
      <c r="E28" s="276"/>
      <c r="F28" s="276"/>
      <c r="G28" s="336" t="s">
        <v>180</v>
      </c>
      <c r="H28" s="337"/>
      <c r="I28" s="155"/>
      <c r="J28" s="156" t="str" cm="1">
        <f t="array" ref="J28">IFERROR(_xlfn.IFS(COUNTIF(J8:J27,"VERY HIGH")&gt;0,"VERY HIGH",COUNTIF(J8:J27,"HIGH")&gt;0,"HIGH",COUNTIF(J8:J27,"MEDIUM")&gt;0,"MEDIUM",COUNTIF(J8:J27,"LOW")&gt;0,"LOW"),"")</f>
        <v/>
      </c>
    </row>
    <row r="29" spans="1:10" ht="20.25" customHeight="1">
      <c r="A29" s="268" t="s">
        <v>181</v>
      </c>
      <c r="B29" s="157"/>
      <c r="C29" s="157"/>
      <c r="D29" s="157"/>
      <c r="E29" s="157"/>
      <c r="F29" s="157"/>
      <c r="G29" s="157"/>
      <c r="H29" s="157"/>
      <c r="I29" s="157"/>
      <c r="J29" s="157"/>
    </row>
    <row r="30" spans="1:10" ht="19.5" customHeight="1">
      <c r="A30" s="324"/>
      <c r="B30" s="325"/>
      <c r="C30" s="325"/>
      <c r="D30" s="325"/>
      <c r="E30" s="325"/>
      <c r="F30" s="325"/>
      <c r="G30" s="325"/>
      <c r="H30" s="325"/>
      <c r="I30" s="325"/>
      <c r="J30" s="326"/>
    </row>
    <row r="31" spans="1:10" ht="19.5" customHeight="1">
      <c r="A31" s="327"/>
      <c r="B31" s="276"/>
      <c r="C31" s="276"/>
      <c r="D31" s="276"/>
      <c r="E31" s="276"/>
      <c r="F31" s="276"/>
      <c r="G31" s="276"/>
      <c r="H31" s="276"/>
      <c r="I31" s="276"/>
      <c r="J31" s="314"/>
    </row>
    <row r="32" spans="1:10" ht="19.5" customHeight="1">
      <c r="A32" s="327"/>
      <c r="B32" s="276"/>
      <c r="C32" s="276"/>
      <c r="D32" s="276"/>
      <c r="E32" s="276"/>
      <c r="F32" s="276"/>
      <c r="G32" s="276"/>
      <c r="H32" s="276"/>
      <c r="I32" s="276"/>
      <c r="J32" s="314"/>
    </row>
    <row r="33" spans="1:10" ht="19.5" customHeight="1">
      <c r="A33" s="328"/>
      <c r="B33" s="329"/>
      <c r="C33" s="329"/>
      <c r="D33" s="329"/>
      <c r="E33" s="329"/>
      <c r="F33" s="329"/>
      <c r="G33" s="329"/>
      <c r="H33" s="329"/>
      <c r="I33" s="329"/>
      <c r="J33" s="330"/>
    </row>
  </sheetData>
  <mergeCells count="7">
    <mergeCell ref="A28:F28"/>
    <mergeCell ref="A30:J33"/>
    <mergeCell ref="A1:J1"/>
    <mergeCell ref="A4:F4"/>
    <mergeCell ref="G4:J4"/>
    <mergeCell ref="G28:H28"/>
    <mergeCell ref="A2:J2"/>
  </mergeCells>
  <conditionalFormatting sqref="F6:F27">
    <cfRule type="cellIs" dxfId="12" priority="5" operator="equal">
      <formula>"LOW"</formula>
    </cfRule>
    <cfRule type="cellIs" dxfId="11" priority="6" operator="equal">
      <formula>"MEDIUM"</formula>
    </cfRule>
    <cfRule type="cellIs" dxfId="10" priority="7" operator="equal">
      <formula>"HIGH"</formula>
    </cfRule>
    <cfRule type="cellIs" dxfId="9" priority="8" operator="equal">
      <formula>"VERY HIGH"</formula>
    </cfRule>
  </conditionalFormatting>
  <conditionalFormatting sqref="J6:J28">
    <cfRule type="cellIs" dxfId="8" priority="1" operator="equal">
      <formula>"LOW"</formula>
    </cfRule>
    <cfRule type="cellIs" dxfId="7" priority="2" operator="equal">
      <formula>"MEDIUM"</formula>
    </cfRule>
    <cfRule type="cellIs" dxfId="6" priority="3" operator="equal">
      <formula>"HIGH"</formula>
    </cfRule>
    <cfRule type="cellIs" dxfId="5" priority="4" operator="equal">
      <formula>"VERY HIGH"</formula>
    </cfRule>
  </conditionalFormatting>
  <printOptions horizontalCentered="1"/>
  <pageMargins left="0.7" right="0.7" top="0.75" bottom="0.75" header="0" footer="0"/>
  <pageSetup paperSize="9" scale="59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Lookups!$L$5:$L$9</xm:f>
          </x14:formula1>
          <xm:sqref>D8:E27 H8:I27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00FF"/>
    <pageSetUpPr fitToPage="1"/>
  </sheetPr>
  <dimension ref="A1:K35"/>
  <sheetViews>
    <sheetView showGridLines="0" view="pageBreakPreview" zoomScale="60" zoomScaleNormal="100" workbookViewId="0">
      <selection activeCell="F9" sqref="F9"/>
    </sheetView>
  </sheetViews>
  <sheetFormatPr defaultColWidth="20.1640625" defaultRowHeight="15" customHeight="1"/>
  <cols>
    <col min="1" max="1" width="7.6640625" customWidth="1"/>
    <col min="2" max="2" width="12.6640625" customWidth="1"/>
    <col min="3" max="4" width="40.33203125" customWidth="1"/>
    <col min="5" max="6" width="12.33203125" customWidth="1"/>
    <col min="7" max="7" width="26.83203125" customWidth="1"/>
    <col min="8" max="8" width="50.6640625" customWidth="1"/>
    <col min="9" max="10" width="12.33203125" customWidth="1"/>
    <col min="11" max="11" width="26.83203125" customWidth="1"/>
  </cols>
  <sheetData>
    <row r="1" spans="1:11" ht="100.5" customHeight="1">
      <c r="A1" s="339"/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1" ht="36" customHeight="1">
      <c r="A2" s="114"/>
      <c r="B2" s="157"/>
      <c r="C2" s="157"/>
      <c r="D2" s="157"/>
      <c r="E2" s="115"/>
      <c r="F2" s="115"/>
      <c r="G2" s="159" t="s">
        <v>182</v>
      </c>
      <c r="H2" s="340"/>
      <c r="I2" s="341"/>
      <c r="J2" s="341"/>
      <c r="K2" s="342"/>
    </row>
    <row r="3" spans="1:11" ht="36" customHeight="1">
      <c r="A3" s="114"/>
      <c r="B3" s="343" t="s">
        <v>183</v>
      </c>
      <c r="C3" s="276"/>
      <c r="D3" s="344"/>
      <c r="E3" s="341"/>
      <c r="F3" s="341"/>
      <c r="G3" s="341"/>
      <c r="H3" s="341"/>
      <c r="I3" s="341"/>
      <c r="J3" s="341"/>
      <c r="K3" s="342"/>
    </row>
    <row r="4" spans="1:11" ht="24" customHeight="1">
      <c r="A4" s="114"/>
      <c r="B4" s="116" t="s">
        <v>135</v>
      </c>
      <c r="C4" s="115"/>
      <c r="D4" s="117"/>
      <c r="E4" s="157"/>
      <c r="F4" s="115"/>
      <c r="G4" s="157"/>
      <c r="H4" s="118"/>
      <c r="I4" s="119"/>
      <c r="J4" s="120"/>
      <c r="K4" s="121"/>
    </row>
    <row r="5" spans="1:11" ht="33" customHeight="1">
      <c r="A5" s="52"/>
      <c r="B5" s="331" t="s">
        <v>136</v>
      </c>
      <c r="C5" s="332"/>
      <c r="D5" s="332"/>
      <c r="E5" s="332"/>
      <c r="F5" s="332"/>
      <c r="G5" s="333"/>
      <c r="H5" s="334" t="s">
        <v>137</v>
      </c>
      <c r="I5" s="332"/>
      <c r="J5" s="332"/>
      <c r="K5" s="335"/>
    </row>
    <row r="6" spans="1:11" ht="15.75" customHeight="1">
      <c r="A6" s="52"/>
      <c r="B6" s="122" t="s">
        <v>138</v>
      </c>
      <c r="C6" s="123" t="s">
        <v>139</v>
      </c>
      <c r="D6" s="124" t="s">
        <v>140</v>
      </c>
      <c r="E6" s="125" t="s">
        <v>141</v>
      </c>
      <c r="F6" s="126" t="s">
        <v>142</v>
      </c>
      <c r="G6" s="127" t="s">
        <v>143</v>
      </c>
      <c r="H6" s="124" t="s">
        <v>34</v>
      </c>
      <c r="I6" s="128" t="s">
        <v>144</v>
      </c>
      <c r="J6" s="128" t="s">
        <v>145</v>
      </c>
      <c r="K6" s="129" t="s">
        <v>146</v>
      </c>
    </row>
    <row r="7" spans="1:11" ht="27.75" customHeight="1">
      <c r="A7" s="52"/>
      <c r="B7" s="130" t="s">
        <v>147</v>
      </c>
      <c r="C7" s="131" t="s">
        <v>148</v>
      </c>
      <c r="D7" s="132" t="s">
        <v>149</v>
      </c>
      <c r="E7" s="133" t="s">
        <v>150</v>
      </c>
      <c r="F7" s="133" t="s">
        <v>151</v>
      </c>
      <c r="G7" s="160" t="s">
        <v>152</v>
      </c>
      <c r="H7" s="132" t="s">
        <v>153</v>
      </c>
      <c r="I7" s="133" t="s">
        <v>150</v>
      </c>
      <c r="J7" s="133" t="s">
        <v>154</v>
      </c>
      <c r="K7" s="135" t="s">
        <v>155</v>
      </c>
    </row>
    <row r="8" spans="1:11" ht="27.75" customHeight="1">
      <c r="A8" s="52"/>
      <c r="B8" s="130" t="s">
        <v>147</v>
      </c>
      <c r="C8" s="131" t="s">
        <v>156</v>
      </c>
      <c r="D8" s="132" t="s">
        <v>157</v>
      </c>
      <c r="E8" s="133" t="s">
        <v>141</v>
      </c>
      <c r="F8" s="133" t="s">
        <v>150</v>
      </c>
      <c r="G8" s="160" t="s">
        <v>158</v>
      </c>
      <c r="H8" s="132" t="s">
        <v>159</v>
      </c>
      <c r="I8" s="133" t="s">
        <v>154</v>
      </c>
      <c r="J8" s="133" t="s">
        <v>154</v>
      </c>
      <c r="K8" s="135" t="s">
        <v>155</v>
      </c>
    </row>
    <row r="9" spans="1:11" ht="27.75" customHeight="1">
      <c r="A9" s="52"/>
      <c r="B9" s="136">
        <v>1.01</v>
      </c>
      <c r="C9" s="263"/>
      <c r="D9" s="132" t="s">
        <v>184</v>
      </c>
      <c r="E9" s="265" t="s">
        <v>141</v>
      </c>
      <c r="F9" s="265" t="s">
        <v>141</v>
      </c>
      <c r="G9" s="160" t="str">
        <f>IFERROR(VLOOKUP(_xlfn.CONCAT(E9,F9),Lookups!$Y$5:$Z$29,2,FALSE),"")</f>
        <v>MEDIUM</v>
      </c>
      <c r="H9" s="161"/>
      <c r="I9" s="265"/>
      <c r="J9" s="265"/>
      <c r="K9" s="160" t="str">
        <f>IFERROR(VLOOKUP(_xlfn.CONCAT(I9,J9),Lookups!$Y$5:$Z$29,2,FALSE),"")</f>
        <v/>
      </c>
    </row>
    <row r="10" spans="1:11" ht="27.75" customHeight="1">
      <c r="A10" s="52"/>
      <c r="B10" s="136">
        <v>1.02</v>
      </c>
      <c r="C10" s="263"/>
      <c r="D10" s="264"/>
      <c r="E10" s="265"/>
      <c r="F10" s="265"/>
      <c r="G10" s="160" t="str">
        <f>IFERROR(VLOOKUP(_xlfn.CONCAT(E10,F10),Lookups!$Y$5:$Z$29,2,FALSE),"")</f>
        <v/>
      </c>
      <c r="H10" s="266"/>
      <c r="I10" s="265"/>
      <c r="J10" s="265"/>
      <c r="K10" s="160" t="str">
        <f>IFERROR(VLOOKUP(_xlfn.CONCAT(I10,J10),Lookups!$Y$5:$Z$29,2,FALSE),"")</f>
        <v/>
      </c>
    </row>
    <row r="11" spans="1:11" ht="27.75" customHeight="1">
      <c r="A11" s="52"/>
      <c r="B11" s="136">
        <v>1.03</v>
      </c>
      <c r="C11" s="267"/>
      <c r="D11" s="264"/>
      <c r="E11" s="265"/>
      <c r="F11" s="265"/>
      <c r="G11" s="160" t="str">
        <f>IFERROR(VLOOKUP(_xlfn.CONCAT(E11,F11),Lookups!$Y$5:$Z$29,2,FALSE),"")</f>
        <v/>
      </c>
      <c r="H11" s="266"/>
      <c r="I11" s="265"/>
      <c r="J11" s="265"/>
      <c r="K11" s="160" t="str">
        <f>IFERROR(VLOOKUP(_xlfn.CONCAT(I11,J11),Lookups!$Y$5:$Z$29,2,FALSE),"")</f>
        <v/>
      </c>
    </row>
    <row r="12" spans="1:11" ht="27.75" customHeight="1">
      <c r="A12" s="52"/>
      <c r="B12" s="136">
        <v>1.04</v>
      </c>
      <c r="C12" s="267"/>
      <c r="D12" s="264"/>
      <c r="E12" s="265"/>
      <c r="F12" s="265"/>
      <c r="G12" s="160" t="str">
        <f>IFERROR(VLOOKUP(_xlfn.CONCAT(E12,F12),Lookups!$Y$5:$Z$29,2,FALSE),"")</f>
        <v/>
      </c>
      <c r="H12" s="266"/>
      <c r="I12" s="265"/>
      <c r="J12" s="265"/>
      <c r="K12" s="160" t="str">
        <f>IFERROR(VLOOKUP(_xlfn.CONCAT(I12,J12),Lookups!$Y$5:$Z$29,2,FALSE),"")</f>
        <v/>
      </c>
    </row>
    <row r="13" spans="1:11" ht="27.75" customHeight="1">
      <c r="A13" s="52"/>
      <c r="B13" s="136">
        <v>1.05</v>
      </c>
      <c r="C13" s="267"/>
      <c r="D13" s="264"/>
      <c r="E13" s="265"/>
      <c r="F13" s="265"/>
      <c r="G13" s="160" t="str">
        <f>IFERROR(VLOOKUP(_xlfn.CONCAT(E13,F13),Lookups!$Y$5:$Z$29,2,FALSE),"")</f>
        <v/>
      </c>
      <c r="H13" s="266"/>
      <c r="I13" s="265"/>
      <c r="J13" s="265"/>
      <c r="K13" s="160" t="str">
        <f>IFERROR(VLOOKUP(_xlfn.CONCAT(I13,J13),Lookups!$Y$5:$Z$29,2,FALSE),"")</f>
        <v/>
      </c>
    </row>
    <row r="14" spans="1:11" ht="27.75" customHeight="1">
      <c r="A14" s="52"/>
      <c r="B14" s="136">
        <v>1.06</v>
      </c>
      <c r="C14" s="267"/>
      <c r="D14" s="264"/>
      <c r="E14" s="265"/>
      <c r="F14" s="265"/>
      <c r="G14" s="160" t="str">
        <f>IFERROR(VLOOKUP(_xlfn.CONCAT(E14,F14),Lookups!$Y$5:$Z$29,2,FALSE),"")</f>
        <v/>
      </c>
      <c r="H14" s="266"/>
      <c r="I14" s="265"/>
      <c r="J14" s="265"/>
      <c r="K14" s="160" t="str">
        <f>IFERROR(VLOOKUP(_xlfn.CONCAT(I14,J14),Lookups!$Y$5:$Z$29,2,FALSE),"")</f>
        <v/>
      </c>
    </row>
    <row r="15" spans="1:11" ht="27.75" customHeight="1">
      <c r="A15" s="52"/>
      <c r="B15" s="136">
        <v>1.07</v>
      </c>
      <c r="C15" s="267"/>
      <c r="D15" s="264"/>
      <c r="E15" s="265"/>
      <c r="F15" s="265"/>
      <c r="G15" s="160" t="str">
        <f>IFERROR(VLOOKUP(_xlfn.CONCAT(E15,F15),Lookups!$Y$5:$Z$29,2,FALSE),"")</f>
        <v/>
      </c>
      <c r="H15" s="266"/>
      <c r="I15" s="265"/>
      <c r="J15" s="265"/>
      <c r="K15" s="160" t="str">
        <f>IFERROR(VLOOKUP(_xlfn.CONCAT(I15,J15),Lookups!$Y$5:$Z$29,2,FALSE),"")</f>
        <v/>
      </c>
    </row>
    <row r="16" spans="1:11" ht="27.75" customHeight="1">
      <c r="A16" s="52"/>
      <c r="B16" s="136">
        <v>1.08</v>
      </c>
      <c r="C16" s="267"/>
      <c r="D16" s="264"/>
      <c r="E16" s="265"/>
      <c r="F16" s="265"/>
      <c r="G16" s="160" t="str">
        <f>IFERROR(VLOOKUP(_xlfn.CONCAT(E16,F16),Lookups!$Y$5:$Z$29,2,FALSE),"")</f>
        <v/>
      </c>
      <c r="H16" s="266"/>
      <c r="I16" s="265"/>
      <c r="J16" s="265"/>
      <c r="K16" s="160" t="str">
        <f>IFERROR(VLOOKUP(_xlfn.CONCAT(I16,J16),Lookups!$Y$5:$Z$29,2,FALSE),"")</f>
        <v/>
      </c>
    </row>
    <row r="17" spans="1:11" ht="27.75" customHeight="1">
      <c r="A17" s="52"/>
      <c r="B17" s="136">
        <v>1.0900000000000001</v>
      </c>
      <c r="C17" s="267"/>
      <c r="D17" s="264"/>
      <c r="E17" s="265"/>
      <c r="F17" s="265"/>
      <c r="G17" s="160" t="str">
        <f>IFERROR(VLOOKUP(_xlfn.CONCAT(E17,F17),Lookups!$Y$5:$Z$29,2,FALSE),"")</f>
        <v/>
      </c>
      <c r="H17" s="266"/>
      <c r="I17" s="265"/>
      <c r="J17" s="265"/>
      <c r="K17" s="160" t="str">
        <f>IFERROR(VLOOKUP(_xlfn.CONCAT(I17,J17),Lookups!$Y$5:$Z$29,2,FALSE),"")</f>
        <v/>
      </c>
    </row>
    <row r="18" spans="1:11" ht="27.75" customHeight="1">
      <c r="A18" s="52"/>
      <c r="B18" s="136">
        <v>1.1000000000000001</v>
      </c>
      <c r="C18" s="267"/>
      <c r="D18" s="264"/>
      <c r="E18" s="265"/>
      <c r="F18" s="265"/>
      <c r="G18" s="160" t="str">
        <f>IFERROR(VLOOKUP(_xlfn.CONCAT(E18,F18),Lookups!$Y$5:$Z$29,2,FALSE),"")</f>
        <v/>
      </c>
      <c r="H18" s="266"/>
      <c r="I18" s="265"/>
      <c r="J18" s="265"/>
      <c r="K18" s="160" t="str">
        <f>IFERROR(VLOOKUP(_xlfn.CONCAT(I18,J18),Lookups!$Y$5:$Z$29,2,FALSE),"")</f>
        <v/>
      </c>
    </row>
    <row r="19" spans="1:11" ht="27.75" customHeight="1">
      <c r="A19" s="52"/>
      <c r="B19" s="136">
        <v>1.1100000000000001</v>
      </c>
      <c r="C19" s="267"/>
      <c r="D19" s="264"/>
      <c r="E19" s="265"/>
      <c r="F19" s="265"/>
      <c r="G19" s="160" t="str">
        <f>IFERROR(VLOOKUP(_xlfn.CONCAT(E19,F19),Lookups!$Y$5:$Z$29,2,FALSE),"")</f>
        <v/>
      </c>
      <c r="H19" s="266"/>
      <c r="I19" s="265"/>
      <c r="J19" s="265"/>
      <c r="K19" s="160" t="str">
        <f>IFERROR(VLOOKUP(_xlfn.CONCAT(I19,J19),Lookups!$Y$5:$Z$29,2,FALSE),"")</f>
        <v/>
      </c>
    </row>
    <row r="20" spans="1:11" ht="27.75" customHeight="1">
      <c r="A20" s="52"/>
      <c r="B20" s="136">
        <v>1.1200000000000001</v>
      </c>
      <c r="C20" s="267"/>
      <c r="D20" s="264"/>
      <c r="E20" s="265"/>
      <c r="F20" s="265"/>
      <c r="G20" s="160" t="str">
        <f>IFERROR(VLOOKUP(_xlfn.CONCAT(E20,F20),Lookups!$Y$5:$Z$29,2,FALSE),"")</f>
        <v/>
      </c>
      <c r="H20" s="266"/>
      <c r="I20" s="265"/>
      <c r="J20" s="265"/>
      <c r="K20" s="160" t="str">
        <f>IFERROR(VLOOKUP(_xlfn.CONCAT(I20,J20),Lookups!$Y$5:$Z$29,2,FALSE),"")</f>
        <v/>
      </c>
    </row>
    <row r="21" spans="1:11" ht="27.75" customHeight="1">
      <c r="A21" s="52"/>
      <c r="B21" s="136">
        <v>1.1299999999999999</v>
      </c>
      <c r="C21" s="267"/>
      <c r="D21" s="264"/>
      <c r="E21" s="265"/>
      <c r="F21" s="265"/>
      <c r="G21" s="160" t="str">
        <f>IFERROR(VLOOKUP(_xlfn.CONCAT(E21,F21),Lookups!$Y$5:$Z$29,2,FALSE),"")</f>
        <v/>
      </c>
      <c r="H21" s="266"/>
      <c r="I21" s="265"/>
      <c r="J21" s="265"/>
      <c r="K21" s="160" t="str">
        <f>IFERROR(VLOOKUP(_xlfn.CONCAT(I21,J21),Lookups!$Y$5:$Z$29,2,FALSE),"")</f>
        <v/>
      </c>
    </row>
    <row r="22" spans="1:11" ht="27.75" customHeight="1">
      <c r="A22" s="52"/>
      <c r="B22" s="136">
        <v>1.1399999999999999</v>
      </c>
      <c r="C22" s="267"/>
      <c r="D22" s="264"/>
      <c r="E22" s="265"/>
      <c r="F22" s="265"/>
      <c r="G22" s="160" t="str">
        <f>IFERROR(VLOOKUP(_xlfn.CONCAT(E22,F22),Lookups!$Y$5:$Z$29,2,FALSE),"")</f>
        <v/>
      </c>
      <c r="H22" s="266"/>
      <c r="I22" s="265"/>
      <c r="J22" s="265"/>
      <c r="K22" s="160" t="str">
        <f>IFERROR(VLOOKUP(_xlfn.CONCAT(I22,J22),Lookups!$Y$5:$Z$29,2,FALSE),"")</f>
        <v/>
      </c>
    </row>
    <row r="23" spans="1:11" ht="27.75" customHeight="1">
      <c r="A23" s="52"/>
      <c r="B23" s="136">
        <v>1.1499999999999999</v>
      </c>
      <c r="C23" s="267"/>
      <c r="D23" s="264"/>
      <c r="E23" s="265"/>
      <c r="F23" s="265"/>
      <c r="G23" s="160" t="str">
        <f>IFERROR(VLOOKUP(_xlfn.CONCAT(E23,F23),Lookups!$Y$5:$Z$29,2,FALSE),"")</f>
        <v/>
      </c>
      <c r="H23" s="266"/>
      <c r="I23" s="265"/>
      <c r="J23" s="265"/>
      <c r="K23" s="160" t="str">
        <f>IFERROR(VLOOKUP(_xlfn.CONCAT(I23,J23),Lookups!$Y$5:$Z$29,2,FALSE),"")</f>
        <v/>
      </c>
    </row>
    <row r="24" spans="1:11" ht="27.75" customHeight="1">
      <c r="A24" s="52"/>
      <c r="B24" s="136">
        <v>1.1599999999999999</v>
      </c>
      <c r="C24" s="267"/>
      <c r="D24" s="264"/>
      <c r="E24" s="265"/>
      <c r="F24" s="265"/>
      <c r="G24" s="160" t="str">
        <f>IFERROR(VLOOKUP(_xlfn.CONCAT(E24,F24),Lookups!$Y$5:$Z$29,2,FALSE),"")</f>
        <v/>
      </c>
      <c r="H24" s="266"/>
      <c r="I24" s="265"/>
      <c r="J24" s="265"/>
      <c r="K24" s="160" t="str">
        <f>IFERROR(VLOOKUP(_xlfn.CONCAT(I24,J24),Lookups!$Y$5:$Z$29,2,FALSE),"")</f>
        <v/>
      </c>
    </row>
    <row r="25" spans="1:11" ht="27.75" customHeight="1">
      <c r="A25" s="52"/>
      <c r="B25" s="136">
        <v>1.17</v>
      </c>
      <c r="C25" s="267"/>
      <c r="D25" s="264"/>
      <c r="E25" s="265"/>
      <c r="F25" s="265"/>
      <c r="G25" s="160" t="str">
        <f>IFERROR(VLOOKUP(_xlfn.CONCAT(E25,F25),Lookups!$Y$5:$Z$29,2,FALSE),"")</f>
        <v/>
      </c>
      <c r="H25" s="264"/>
      <c r="I25" s="265"/>
      <c r="J25" s="265"/>
      <c r="K25" s="160" t="str">
        <f>IFERROR(VLOOKUP(_xlfn.CONCAT(I25,J25),Lookups!$Y$5:$Z$29,2,FALSE),"")</f>
        <v/>
      </c>
    </row>
    <row r="26" spans="1:11" ht="27.75" customHeight="1">
      <c r="A26" s="52"/>
      <c r="B26" s="136">
        <v>1.18</v>
      </c>
      <c r="C26" s="267"/>
      <c r="D26" s="264"/>
      <c r="E26" s="265"/>
      <c r="F26" s="265"/>
      <c r="G26" s="160" t="str">
        <f>IFERROR(VLOOKUP(_xlfn.CONCAT(E26,F26),Lookups!$Y$5:$Z$29,2,FALSE),"")</f>
        <v/>
      </c>
      <c r="H26" s="264"/>
      <c r="I26" s="265"/>
      <c r="J26" s="265"/>
      <c r="K26" s="160" t="str">
        <f>IFERROR(VLOOKUP(_xlfn.CONCAT(I26,J26),Lookups!$Y$5:$Z$29,2,FALSE),"")</f>
        <v/>
      </c>
    </row>
    <row r="27" spans="1:11" ht="27.75" customHeight="1">
      <c r="A27" s="52"/>
      <c r="B27" s="136">
        <v>1.19</v>
      </c>
      <c r="C27" s="267"/>
      <c r="D27" s="264"/>
      <c r="E27" s="265"/>
      <c r="F27" s="265"/>
      <c r="G27" s="160" t="str">
        <f>IFERROR(VLOOKUP(_xlfn.CONCAT(E27,F27),Lookups!$Y$5:$Z$29,2,FALSE),"")</f>
        <v/>
      </c>
      <c r="H27" s="264"/>
      <c r="I27" s="265"/>
      <c r="J27" s="265"/>
      <c r="K27" s="160" t="str">
        <f>IFERROR(VLOOKUP(_xlfn.CONCAT(I27,J27),Lookups!$Y$5:$Z$29,2,FALSE),"")</f>
        <v/>
      </c>
    </row>
    <row r="28" spans="1:11" ht="27.75" customHeight="1">
      <c r="A28" s="52"/>
      <c r="B28" s="162">
        <v>1.2</v>
      </c>
      <c r="C28" s="150"/>
      <c r="D28" s="151"/>
      <c r="E28" s="152"/>
      <c r="F28" s="152"/>
      <c r="G28" s="160" t="str">
        <f>IFERROR(VLOOKUP(_xlfn.CONCAT(E28,F28),Lookups!$Y$5:$Z$29,2,FALSE),"")</f>
        <v/>
      </c>
      <c r="H28" s="153"/>
      <c r="I28" s="154"/>
      <c r="J28" s="154"/>
      <c r="K28" s="160" t="str">
        <f>IFERROR(VLOOKUP(_xlfn.CONCAT(I28,J28),Lookups!$Y$5:$Z$29,2,FALSE),"")</f>
        <v/>
      </c>
    </row>
    <row r="29" spans="1:11" ht="30" customHeight="1">
      <c r="A29" s="52"/>
      <c r="B29" s="323"/>
      <c r="C29" s="276"/>
      <c r="D29" s="276"/>
      <c r="E29" s="276"/>
      <c r="F29" s="276"/>
      <c r="G29" s="276"/>
      <c r="H29" s="336" t="s">
        <v>180</v>
      </c>
      <c r="I29" s="337"/>
      <c r="J29" s="155"/>
      <c r="K29" s="156" t="str" cm="1">
        <f t="array" ref="K29">IFERROR(_xlfn.IFS(COUNTIF(K9:K28,"VERY HIGH")&gt;0,"VERY HIGH",COUNTIF(K9:K28,"HIGH")&gt;0,"HIGH",COUNTIF(K9:K28,"MEDIUM")&gt;0,"MEDIUM",COUNTIF(K9:K28,"LOW")&gt;0,"LOW"),"")</f>
        <v/>
      </c>
    </row>
    <row r="30" spans="1:11" ht="20.25" customHeight="1">
      <c r="A30" s="89"/>
      <c r="B30" s="268" t="s">
        <v>181</v>
      </c>
      <c r="C30" s="157"/>
      <c r="D30" s="157"/>
      <c r="E30" s="157"/>
      <c r="F30" s="157"/>
      <c r="G30" s="157"/>
      <c r="H30" s="157"/>
      <c r="I30" s="157"/>
      <c r="J30" s="157"/>
      <c r="K30" s="157"/>
    </row>
    <row r="31" spans="1:11" ht="19.5" customHeight="1">
      <c r="A31" s="89"/>
      <c r="B31" s="324"/>
      <c r="C31" s="325"/>
      <c r="D31" s="325"/>
      <c r="E31" s="325"/>
      <c r="F31" s="325"/>
      <c r="G31" s="325"/>
      <c r="H31" s="325"/>
      <c r="I31" s="325"/>
      <c r="J31" s="325"/>
      <c r="K31" s="326"/>
    </row>
    <row r="32" spans="1:11" ht="19.5" customHeight="1">
      <c r="A32" s="89"/>
      <c r="B32" s="327"/>
      <c r="C32" s="276"/>
      <c r="D32" s="276"/>
      <c r="E32" s="276"/>
      <c r="F32" s="276"/>
      <c r="G32" s="276"/>
      <c r="H32" s="276"/>
      <c r="I32" s="276"/>
      <c r="J32" s="276"/>
      <c r="K32" s="314"/>
    </row>
    <row r="33" spans="1:11" ht="19.5" customHeight="1">
      <c r="A33" s="89"/>
      <c r="B33" s="327"/>
      <c r="C33" s="276"/>
      <c r="D33" s="276"/>
      <c r="E33" s="276"/>
      <c r="F33" s="276"/>
      <c r="G33" s="276"/>
      <c r="H33" s="276"/>
      <c r="I33" s="276"/>
      <c r="J33" s="276"/>
      <c r="K33" s="314"/>
    </row>
    <row r="34" spans="1:11" ht="19.5" customHeight="1">
      <c r="A34" s="89"/>
      <c r="B34" s="328"/>
      <c r="C34" s="329"/>
      <c r="D34" s="329"/>
      <c r="E34" s="329"/>
      <c r="F34" s="329"/>
      <c r="G34" s="329"/>
      <c r="H34" s="329"/>
      <c r="I34" s="329"/>
      <c r="J34" s="329"/>
      <c r="K34" s="330"/>
    </row>
    <row r="35" spans="1:11" ht="15.75" customHeight="1">
      <c r="A35" s="89"/>
      <c r="B35" s="33"/>
      <c r="C35" s="158"/>
      <c r="D35" s="158"/>
      <c r="E35" s="158"/>
      <c r="F35" s="158"/>
      <c r="G35" s="33"/>
      <c r="H35" s="33"/>
      <c r="I35" s="33"/>
      <c r="J35" s="33"/>
      <c r="K35" s="33"/>
    </row>
  </sheetData>
  <mergeCells count="9">
    <mergeCell ref="B29:G29"/>
    <mergeCell ref="B31:K34"/>
    <mergeCell ref="A1:K1"/>
    <mergeCell ref="H2:K2"/>
    <mergeCell ref="B3:C3"/>
    <mergeCell ref="D3:K3"/>
    <mergeCell ref="B5:G5"/>
    <mergeCell ref="H5:K5"/>
    <mergeCell ref="H29:I29"/>
  </mergeCells>
  <conditionalFormatting sqref="G7:G28 K7:K29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  <cfRule type="cellIs" dxfId="1" priority="4" operator="equal">
      <formula>"VERY HIGH"</formula>
    </cfRule>
  </conditionalFormatting>
  <printOptions horizontalCentered="1"/>
  <pageMargins left="0.7" right="0.7" top="0.75" bottom="0.75" header="0" footer="0"/>
  <pageSetup paperSize="9" scale="5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5D6C3B-77EF-4353-9C44-88E6BA762651}">
          <x14:formula1>
            <xm:f>Lookups!$L$5:$L$9</xm:f>
          </x14:formula1>
          <xm:sqref>E9:F28 I9:J28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  <pageSetUpPr fitToPage="1"/>
  </sheetPr>
  <dimension ref="A1:D32"/>
  <sheetViews>
    <sheetView showGridLines="0" view="pageBreakPreview" zoomScale="60" zoomScaleNormal="100" workbookViewId="0">
      <selection activeCell="D5" sqref="D5"/>
    </sheetView>
  </sheetViews>
  <sheetFormatPr defaultColWidth="20.1640625" defaultRowHeight="15" customHeight="1"/>
  <cols>
    <col min="1" max="1" width="6.6640625" customWidth="1"/>
    <col min="2" max="2" width="37.1640625" customWidth="1"/>
    <col min="3" max="3" width="94.83203125" customWidth="1"/>
    <col min="4" max="4" width="127.1640625" customWidth="1"/>
  </cols>
  <sheetData>
    <row r="1" spans="1:4" ht="110.25" customHeight="1">
      <c r="A1" s="366"/>
      <c r="B1" s="276"/>
      <c r="C1" s="276"/>
      <c r="D1" s="276"/>
    </row>
    <row r="2" spans="1:4" ht="21.75" customHeight="1">
      <c r="A2" s="91"/>
      <c r="B2" s="92"/>
      <c r="C2" s="93"/>
      <c r="D2" s="93"/>
    </row>
    <row r="3" spans="1:4" ht="25.5" customHeight="1">
      <c r="A3" s="91"/>
      <c r="B3" s="89"/>
      <c r="C3" s="94" t="s">
        <v>100</v>
      </c>
      <c r="D3" s="95" t="str">
        <f>IF('Event Details'!C23="","",'Event Details'!C23)</f>
        <v/>
      </c>
    </row>
    <row r="4" spans="1:4" ht="25.5" customHeight="1">
      <c r="A4" s="91"/>
      <c r="B4" s="89"/>
      <c r="C4" s="96" t="s">
        <v>185</v>
      </c>
      <c r="D4" s="97" t="str">
        <f>IF('Event Details'!C29="","",'Event Details'!C29)</f>
        <v/>
      </c>
    </row>
    <row r="5" spans="1:4" ht="25.5" customHeight="1">
      <c r="A5" s="91"/>
      <c r="B5" s="89"/>
      <c r="C5" s="96" t="s">
        <v>186</v>
      </c>
      <c r="D5" s="98" t="str" cm="1">
        <f t="array" ref="D5">IFERROR(_xlfn.IFS(OR('Event Risks'!J28="VERY HIGH",'Activity Risks'!K29="VERY HIGH"),"VERY HIGH",
OR('Event Risks'!J28="HIGH",'Activity Risks'!K29="HIGH"),"HIGH",
OR('Event Risks'!J28="MEDIUM",'Activity Risks'!K29="MEDIUM"),"MEDIUM",
OR('Event Risks'!J28="LOW",'Activity Risks'!K29="LOW"),"LOW"),
"")</f>
        <v/>
      </c>
    </row>
    <row r="6" spans="1:4" ht="23.25" customHeight="1">
      <c r="A6" s="91"/>
      <c r="B6" s="91"/>
      <c r="C6" s="99"/>
      <c r="D6" s="93"/>
    </row>
    <row r="7" spans="1:4" ht="26.4">
      <c r="A7" s="91"/>
      <c r="B7" s="367" t="s">
        <v>187</v>
      </c>
      <c r="C7" s="368"/>
      <c r="D7" s="369"/>
    </row>
    <row r="8" spans="1:4" ht="15.6">
      <c r="A8" s="91"/>
      <c r="B8" s="370" t="s">
        <v>188</v>
      </c>
      <c r="C8" s="276"/>
      <c r="D8" s="371"/>
    </row>
    <row r="9" spans="1:4" ht="15.6">
      <c r="A9" s="91"/>
      <c r="B9" s="370" t="s">
        <v>189</v>
      </c>
      <c r="C9" s="276"/>
      <c r="D9" s="371"/>
    </row>
    <row r="10" spans="1:4" ht="15.6">
      <c r="A10" s="91"/>
      <c r="B10" s="372" t="s">
        <v>190</v>
      </c>
      <c r="C10" s="276"/>
      <c r="D10" s="371"/>
    </row>
    <row r="11" spans="1:4" ht="48" customHeight="1">
      <c r="A11" s="91"/>
      <c r="B11" s="100" t="s">
        <v>118</v>
      </c>
      <c r="C11" s="101" t="str">
        <f>IF('Event Details'!C38=0,"",'Event Details'!C38)</f>
        <v/>
      </c>
      <c r="D11" s="345" t="s">
        <v>191</v>
      </c>
    </row>
    <row r="12" spans="1:4" ht="24" customHeight="1">
      <c r="A12" s="91"/>
      <c r="B12" s="100" t="s">
        <v>185</v>
      </c>
      <c r="C12" s="101"/>
      <c r="D12" s="346"/>
    </row>
    <row r="13" spans="1:4" ht="24" customHeight="1">
      <c r="A13" s="91"/>
      <c r="B13" s="102" t="s">
        <v>192</v>
      </c>
      <c r="C13" s="103" t="str">
        <f>IF('Event Details'!E38=0,"",'Event Details'!E38)</f>
        <v/>
      </c>
      <c r="D13" s="347"/>
    </row>
    <row r="14" spans="1:4" ht="15" customHeight="1">
      <c r="A14" s="91"/>
      <c r="B14" s="91"/>
      <c r="C14" s="93"/>
      <c r="D14" s="93"/>
    </row>
    <row r="15" spans="1:4" ht="26.4">
      <c r="A15" s="91"/>
      <c r="B15" s="364" t="s">
        <v>193</v>
      </c>
      <c r="C15" s="356"/>
      <c r="D15" s="104"/>
    </row>
    <row r="16" spans="1:4" ht="15.6">
      <c r="A16" s="91"/>
      <c r="B16" s="365" t="s">
        <v>194</v>
      </c>
      <c r="C16" s="276"/>
      <c r="D16" s="359"/>
    </row>
    <row r="17" spans="1:4" ht="48" customHeight="1">
      <c r="A17" s="91"/>
      <c r="B17" s="105" t="s">
        <v>118</v>
      </c>
      <c r="C17" s="101"/>
      <c r="D17" s="348" t="s">
        <v>191</v>
      </c>
    </row>
    <row r="18" spans="1:4" ht="24" customHeight="1">
      <c r="A18" s="91"/>
      <c r="B18" s="105" t="s">
        <v>185</v>
      </c>
      <c r="C18" s="101"/>
      <c r="D18" s="349"/>
    </row>
    <row r="19" spans="1:4" ht="24" customHeight="1">
      <c r="A19" s="91"/>
      <c r="B19" s="106" t="s">
        <v>192</v>
      </c>
      <c r="C19" s="107"/>
      <c r="D19" s="350"/>
    </row>
    <row r="20" spans="1:4" ht="15" customHeight="1">
      <c r="A20" s="91"/>
      <c r="B20" s="91"/>
      <c r="C20" s="93"/>
      <c r="D20" s="93"/>
    </row>
    <row r="21" spans="1:4" ht="26.4">
      <c r="A21" s="91"/>
      <c r="B21" s="355" t="s">
        <v>195</v>
      </c>
      <c r="C21" s="356"/>
      <c r="D21" s="357"/>
    </row>
    <row r="22" spans="1:4" ht="15.6">
      <c r="A22" s="91"/>
      <c r="B22" s="358" t="s">
        <v>196</v>
      </c>
      <c r="C22" s="276"/>
      <c r="D22" s="359"/>
    </row>
    <row r="23" spans="1:4" ht="48" customHeight="1">
      <c r="A23" s="91"/>
      <c r="B23" s="108" t="s">
        <v>118</v>
      </c>
      <c r="C23" s="101"/>
      <c r="D23" s="351" t="s">
        <v>191</v>
      </c>
    </row>
    <row r="24" spans="1:4" ht="24" customHeight="1">
      <c r="A24" s="91"/>
      <c r="B24" s="108" t="s">
        <v>185</v>
      </c>
      <c r="C24" s="101"/>
      <c r="D24" s="301"/>
    </row>
    <row r="25" spans="1:4" ht="24" customHeight="1">
      <c r="A25" s="91"/>
      <c r="B25" s="109" t="s">
        <v>192</v>
      </c>
      <c r="C25" s="101"/>
      <c r="D25" s="302"/>
    </row>
    <row r="26" spans="1:4" ht="15" customHeight="1">
      <c r="A26" s="91"/>
      <c r="B26" s="91"/>
      <c r="C26" s="93"/>
      <c r="D26" s="93"/>
    </row>
    <row r="27" spans="1:4" ht="26.4">
      <c r="A27" s="91"/>
      <c r="B27" s="360" t="s">
        <v>197</v>
      </c>
      <c r="C27" s="361"/>
      <c r="D27" s="110"/>
    </row>
    <row r="28" spans="1:4" ht="15.6">
      <c r="A28" s="91"/>
      <c r="B28" s="362" t="s">
        <v>196</v>
      </c>
      <c r="C28" s="276"/>
      <c r="D28" s="363"/>
    </row>
    <row r="29" spans="1:4" ht="48" customHeight="1">
      <c r="A29" s="91"/>
      <c r="B29" s="111" t="s">
        <v>118</v>
      </c>
      <c r="C29" s="101"/>
      <c r="D29" s="352" t="s">
        <v>191</v>
      </c>
    </row>
    <row r="30" spans="1:4" ht="24" customHeight="1">
      <c r="A30" s="91"/>
      <c r="B30" s="111" t="s">
        <v>185</v>
      </c>
      <c r="C30" s="101"/>
      <c r="D30" s="353"/>
    </row>
    <row r="31" spans="1:4" ht="24" customHeight="1">
      <c r="A31" s="91"/>
      <c r="B31" s="112" t="s">
        <v>192</v>
      </c>
      <c r="C31" s="113"/>
      <c r="D31" s="354"/>
    </row>
    <row r="32" spans="1:4" ht="15" customHeight="1">
      <c r="A32" s="91"/>
      <c r="B32" s="91"/>
      <c r="C32" s="93"/>
      <c r="D32" s="93"/>
    </row>
  </sheetData>
  <mergeCells count="15">
    <mergeCell ref="A1:D1"/>
    <mergeCell ref="B7:D7"/>
    <mergeCell ref="B8:D8"/>
    <mergeCell ref="B9:D9"/>
    <mergeCell ref="B10:D10"/>
    <mergeCell ref="D11:D13"/>
    <mergeCell ref="D17:D19"/>
    <mergeCell ref="D23:D25"/>
    <mergeCell ref="D29:D31"/>
    <mergeCell ref="B21:D21"/>
    <mergeCell ref="B22:D22"/>
    <mergeCell ref="B27:C27"/>
    <mergeCell ref="B28:D28"/>
    <mergeCell ref="B15:C15"/>
    <mergeCell ref="B16:D16"/>
  </mergeCells>
  <printOptions horizontalCentered="1" gridLines="1"/>
  <pageMargins left="0.7" right="0.7" top="0.75" bottom="0.75" header="0" footer="0"/>
  <pageSetup paperSize="9" scale="55" fitToHeight="0" orientation="portrait" cellComments="atEn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83"/>
  <sheetViews>
    <sheetView topLeftCell="C1" workbookViewId="0"/>
  </sheetViews>
  <sheetFormatPr defaultColWidth="20.1640625" defaultRowHeight="15" customHeight="1"/>
  <cols>
    <col min="1" max="2" width="11" customWidth="1"/>
    <col min="3" max="3" width="58.83203125" customWidth="1"/>
    <col min="4" max="4" width="31" customWidth="1"/>
    <col min="5" max="5" width="58.83203125" customWidth="1"/>
    <col min="6" max="8" width="2.1640625" customWidth="1"/>
    <col min="9" max="9" width="31.83203125" customWidth="1"/>
    <col min="10" max="11" width="2.1640625" customWidth="1"/>
    <col min="12" max="12" width="31.83203125" customWidth="1"/>
    <col min="13" max="14" width="2.1640625" customWidth="1"/>
    <col min="15" max="15" width="31.83203125" customWidth="1"/>
    <col min="16" max="17" width="2.1640625" customWidth="1"/>
    <col min="18" max="18" width="31.83203125" customWidth="1"/>
    <col min="19" max="20" width="2.1640625" customWidth="1"/>
    <col min="21" max="21" width="31.83203125" customWidth="1"/>
    <col min="22" max="22" width="11" customWidth="1"/>
    <col min="23" max="24" width="2.1640625" customWidth="1"/>
    <col min="25" max="25" width="11" customWidth="1"/>
    <col min="26" max="26" width="23.1640625" customWidth="1"/>
  </cols>
  <sheetData>
    <row r="1" spans="1:26" ht="9.75" customHeight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>
        <v>1</v>
      </c>
      <c r="W1" s="163"/>
      <c r="X1" s="163"/>
      <c r="Y1" s="163"/>
      <c r="Z1" s="163"/>
    </row>
    <row r="2" spans="1:26" ht="9.75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>
        <v>2</v>
      </c>
      <c r="W2" s="163"/>
      <c r="X2" s="163"/>
      <c r="Y2" s="163"/>
      <c r="Z2" s="163"/>
    </row>
    <row r="3" spans="1:26" ht="78" customHeight="1">
      <c r="A3" s="164"/>
      <c r="B3" s="164"/>
      <c r="C3" s="164" t="s">
        <v>198</v>
      </c>
      <c r="D3" s="164"/>
      <c r="E3" s="165" t="s">
        <v>199</v>
      </c>
      <c r="F3" s="164"/>
      <c r="G3" s="164"/>
      <c r="H3" s="164"/>
      <c r="I3" s="164" t="s">
        <v>200</v>
      </c>
      <c r="J3" s="164"/>
      <c r="K3" s="164"/>
      <c r="L3" s="164" t="s">
        <v>201</v>
      </c>
      <c r="M3" s="164"/>
      <c r="N3" s="164"/>
      <c r="O3" s="164" t="s">
        <v>202</v>
      </c>
      <c r="P3" s="164"/>
      <c r="Q3" s="164"/>
      <c r="R3" s="164" t="s">
        <v>203</v>
      </c>
      <c r="S3" s="164"/>
      <c r="T3" s="164"/>
      <c r="U3" s="164" t="s">
        <v>204</v>
      </c>
      <c r="V3" s="165">
        <v>3</v>
      </c>
      <c r="W3" s="164"/>
      <c r="X3" s="164"/>
      <c r="Y3" s="164" t="s">
        <v>205</v>
      </c>
      <c r="Z3" s="164" t="s">
        <v>206</v>
      </c>
    </row>
    <row r="4" spans="1:26" ht="9.75" customHeight="1">
      <c r="A4" s="163"/>
      <c r="B4" s="163"/>
      <c r="C4" s="166" t="s">
        <v>207</v>
      </c>
      <c r="D4" s="166" t="s">
        <v>83</v>
      </c>
      <c r="E4" s="166" t="s">
        <v>84</v>
      </c>
      <c r="F4" s="163"/>
      <c r="G4" s="163"/>
      <c r="H4" s="269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>
        <v>4</v>
      </c>
      <c r="W4" s="163"/>
      <c r="X4" s="163"/>
      <c r="Y4" s="163"/>
      <c r="Z4" s="163"/>
    </row>
    <row r="5" spans="1:26" ht="21" customHeight="1">
      <c r="A5" s="163"/>
      <c r="B5" s="163"/>
      <c r="C5" s="163" t="s">
        <v>86</v>
      </c>
      <c r="D5" s="163"/>
      <c r="E5" s="163"/>
      <c r="F5" s="163"/>
      <c r="G5" s="163"/>
      <c r="H5" s="163"/>
      <c r="I5" s="163" t="s">
        <v>208</v>
      </c>
      <c r="J5" s="163"/>
      <c r="K5" s="163"/>
      <c r="L5" s="163" t="s">
        <v>154</v>
      </c>
      <c r="M5" s="163"/>
      <c r="N5" s="163"/>
      <c r="O5" s="163" t="s">
        <v>88</v>
      </c>
      <c r="P5" s="163"/>
      <c r="Q5" s="163"/>
      <c r="R5" s="167" t="s">
        <v>117</v>
      </c>
      <c r="S5" s="163"/>
      <c r="T5" s="163"/>
      <c r="U5" s="163" t="s">
        <v>207</v>
      </c>
      <c r="V5" s="163">
        <v>5</v>
      </c>
      <c r="W5" s="163"/>
      <c r="X5" s="163"/>
      <c r="Y5" s="163" t="s">
        <v>209</v>
      </c>
      <c r="Z5" s="163" t="s">
        <v>155</v>
      </c>
    </row>
    <row r="6" spans="1:26" ht="9.75" customHeight="1">
      <c r="A6" s="163"/>
      <c r="B6" s="163"/>
      <c r="C6" s="168" t="s">
        <v>210</v>
      </c>
      <c r="D6" s="163" t="s">
        <v>211</v>
      </c>
      <c r="E6" s="163" t="s">
        <v>212</v>
      </c>
      <c r="F6" s="163"/>
      <c r="G6" s="163"/>
      <c r="H6" s="163"/>
      <c r="I6" s="163" t="s">
        <v>213</v>
      </c>
      <c r="J6" s="163"/>
      <c r="K6" s="163"/>
      <c r="L6" s="163" t="s">
        <v>150</v>
      </c>
      <c r="M6" s="163"/>
      <c r="N6" s="163"/>
      <c r="O6" s="163" t="s">
        <v>90</v>
      </c>
      <c r="P6" s="163"/>
      <c r="Q6" s="163"/>
      <c r="R6" s="167" t="s">
        <v>214</v>
      </c>
      <c r="S6" s="163"/>
      <c r="T6" s="163"/>
      <c r="U6" s="163" t="s">
        <v>83</v>
      </c>
      <c r="V6" s="163">
        <v>6</v>
      </c>
      <c r="W6" s="163"/>
      <c r="X6" s="163"/>
      <c r="Y6" s="163" t="s">
        <v>215</v>
      </c>
      <c r="Z6" s="163" t="s">
        <v>155</v>
      </c>
    </row>
    <row r="7" spans="1:26" ht="9.75" customHeight="1">
      <c r="A7" s="163"/>
      <c r="B7" s="163"/>
      <c r="C7" s="168" t="s">
        <v>216</v>
      </c>
      <c r="D7" s="163" t="s">
        <v>211</v>
      </c>
      <c r="E7" s="163" t="s">
        <v>212</v>
      </c>
      <c r="F7" s="163"/>
      <c r="G7" s="163"/>
      <c r="H7" s="163"/>
      <c r="I7" s="163"/>
      <c r="J7" s="163"/>
      <c r="K7" s="163"/>
      <c r="L7" s="163" t="s">
        <v>141</v>
      </c>
      <c r="M7" s="163"/>
      <c r="N7" s="163"/>
      <c r="O7" s="163" t="s">
        <v>91</v>
      </c>
      <c r="P7" s="163"/>
      <c r="Q7" s="163"/>
      <c r="R7" s="167" t="s">
        <v>217</v>
      </c>
      <c r="S7" s="163"/>
      <c r="T7" s="163"/>
      <c r="U7" s="163" t="s">
        <v>84</v>
      </c>
      <c r="V7" s="165">
        <v>7</v>
      </c>
      <c r="W7" s="163"/>
      <c r="X7" s="163"/>
      <c r="Y7" s="163" t="s">
        <v>218</v>
      </c>
      <c r="Z7" s="163" t="s">
        <v>155</v>
      </c>
    </row>
    <row r="8" spans="1:26" ht="9.75" customHeight="1">
      <c r="A8" s="163"/>
      <c r="B8" s="163"/>
      <c r="C8" s="163" t="s">
        <v>219</v>
      </c>
      <c r="D8" s="163" t="s">
        <v>220</v>
      </c>
      <c r="E8" s="163" t="s">
        <v>221</v>
      </c>
      <c r="F8" s="163"/>
      <c r="G8" s="163"/>
      <c r="H8" s="163"/>
      <c r="I8" s="163"/>
      <c r="J8" s="163"/>
      <c r="K8" s="163"/>
      <c r="L8" s="163" t="s">
        <v>151</v>
      </c>
      <c r="M8" s="163"/>
      <c r="N8" s="163"/>
      <c r="O8" s="163" t="s">
        <v>92</v>
      </c>
      <c r="P8" s="163"/>
      <c r="Q8" s="163"/>
      <c r="R8" s="167" t="s">
        <v>222</v>
      </c>
      <c r="S8" s="163"/>
      <c r="T8" s="163"/>
      <c r="U8" s="163" t="s">
        <v>223</v>
      </c>
      <c r="V8" s="163">
        <v>8</v>
      </c>
      <c r="W8" s="163"/>
      <c r="X8" s="163"/>
      <c r="Y8" s="163" t="s">
        <v>224</v>
      </c>
      <c r="Z8" s="163" t="s">
        <v>158</v>
      </c>
    </row>
    <row r="9" spans="1:26" ht="9.75" customHeight="1">
      <c r="A9" s="163"/>
      <c r="B9" s="163"/>
      <c r="C9" s="163" t="s">
        <v>225</v>
      </c>
      <c r="D9" s="163" t="s">
        <v>220</v>
      </c>
      <c r="E9" s="163" t="s">
        <v>221</v>
      </c>
      <c r="F9" s="163"/>
      <c r="G9" s="163"/>
      <c r="H9" s="163"/>
      <c r="I9" s="163"/>
      <c r="J9" s="163"/>
      <c r="K9" s="163"/>
      <c r="L9" s="163" t="s">
        <v>226</v>
      </c>
      <c r="M9" s="163"/>
      <c r="N9" s="163"/>
      <c r="O9" s="163" t="s">
        <v>93</v>
      </c>
      <c r="P9" s="163"/>
      <c r="Q9" s="163"/>
      <c r="R9" s="167" t="s">
        <v>227</v>
      </c>
      <c r="S9" s="163"/>
      <c r="T9" s="163"/>
      <c r="U9" s="163" t="s">
        <v>228</v>
      </c>
      <c r="V9" s="163">
        <v>9</v>
      </c>
      <c r="W9" s="163"/>
      <c r="X9" s="163"/>
      <c r="Y9" s="163" t="s">
        <v>229</v>
      </c>
      <c r="Z9" s="163" t="s">
        <v>158</v>
      </c>
    </row>
    <row r="10" spans="1:26" ht="9.75" customHeight="1">
      <c r="A10" s="163"/>
      <c r="B10" s="163"/>
      <c r="C10" s="163" t="s">
        <v>230</v>
      </c>
      <c r="D10" s="163" t="s">
        <v>220</v>
      </c>
      <c r="E10" s="163" t="s">
        <v>221</v>
      </c>
      <c r="F10" s="163"/>
      <c r="G10" s="163"/>
      <c r="H10" s="163"/>
      <c r="I10" s="163"/>
      <c r="J10" s="163"/>
      <c r="K10" s="163"/>
      <c r="L10" s="269"/>
      <c r="M10" s="163"/>
      <c r="N10" s="163"/>
      <c r="O10" s="163"/>
      <c r="P10" s="163"/>
      <c r="Q10" s="163"/>
      <c r="R10" s="167" t="s">
        <v>231</v>
      </c>
      <c r="S10" s="163"/>
      <c r="T10" s="163"/>
      <c r="U10" s="163" t="s">
        <v>232</v>
      </c>
      <c r="V10" s="163">
        <v>10</v>
      </c>
      <c r="W10" s="163"/>
      <c r="X10" s="163"/>
      <c r="Y10" s="163" t="s">
        <v>233</v>
      </c>
      <c r="Z10" s="163" t="s">
        <v>155</v>
      </c>
    </row>
    <row r="11" spans="1:26" ht="9.75" customHeight="1">
      <c r="A11" s="163"/>
      <c r="B11" s="163"/>
      <c r="C11" s="163" t="s">
        <v>234</v>
      </c>
      <c r="D11" s="163" t="s">
        <v>220</v>
      </c>
      <c r="E11" s="163" t="s">
        <v>221</v>
      </c>
      <c r="F11" s="163"/>
      <c r="G11" s="163"/>
      <c r="H11" s="163"/>
      <c r="I11" s="163"/>
      <c r="J11" s="163"/>
      <c r="K11" s="163"/>
      <c r="L11" s="269"/>
      <c r="M11" s="163"/>
      <c r="N11" s="163"/>
      <c r="O11" s="163"/>
      <c r="P11" s="163"/>
      <c r="Q11" s="163"/>
      <c r="R11" s="167" t="s">
        <v>235</v>
      </c>
      <c r="S11" s="163"/>
      <c r="T11" s="163"/>
      <c r="U11" s="163"/>
      <c r="V11" s="165">
        <v>11</v>
      </c>
      <c r="W11" s="163"/>
      <c r="X11" s="163"/>
      <c r="Y11" s="163" t="s">
        <v>236</v>
      </c>
      <c r="Z11" s="163" t="s">
        <v>155</v>
      </c>
    </row>
    <row r="12" spans="1:26" ht="9.75" customHeight="1">
      <c r="A12" s="163"/>
      <c r="B12" s="163"/>
      <c r="C12" s="163" t="s">
        <v>237</v>
      </c>
      <c r="D12" s="163" t="s">
        <v>220</v>
      </c>
      <c r="E12" s="163" t="s">
        <v>221</v>
      </c>
      <c r="F12" s="163"/>
      <c r="G12" s="163"/>
      <c r="H12" s="163"/>
      <c r="I12" s="163"/>
      <c r="J12" s="163"/>
      <c r="K12" s="163"/>
      <c r="L12" s="269"/>
      <c r="M12" s="163"/>
      <c r="N12" s="163"/>
      <c r="O12" s="163"/>
      <c r="P12" s="163"/>
      <c r="Q12" s="163"/>
      <c r="R12" s="167" t="s">
        <v>238</v>
      </c>
      <c r="S12" s="163"/>
      <c r="T12" s="163"/>
      <c r="U12" s="163"/>
      <c r="V12" s="163">
        <v>12</v>
      </c>
      <c r="W12" s="163"/>
      <c r="X12" s="163"/>
      <c r="Y12" s="163" t="s">
        <v>239</v>
      </c>
      <c r="Z12" s="163" t="s">
        <v>158</v>
      </c>
    </row>
    <row r="13" spans="1:26" ht="9.75" customHeight="1">
      <c r="A13" s="163"/>
      <c r="B13" s="163"/>
      <c r="C13" s="163" t="s">
        <v>240</v>
      </c>
      <c r="D13" s="163" t="s">
        <v>241</v>
      </c>
      <c r="E13" s="163" t="s">
        <v>221</v>
      </c>
      <c r="F13" s="163"/>
      <c r="G13" s="163"/>
      <c r="H13" s="163"/>
      <c r="I13" s="163"/>
      <c r="J13" s="163"/>
      <c r="K13" s="163"/>
      <c r="L13" s="269"/>
      <c r="M13" s="163"/>
      <c r="N13" s="163"/>
      <c r="O13" s="163"/>
      <c r="P13" s="163"/>
      <c r="Q13" s="163"/>
      <c r="R13" s="167" t="s">
        <v>242</v>
      </c>
      <c r="S13" s="163"/>
      <c r="T13" s="163"/>
      <c r="U13" s="163"/>
      <c r="V13" s="163">
        <v>13</v>
      </c>
      <c r="W13" s="163"/>
      <c r="X13" s="163"/>
      <c r="Y13" s="163" t="s">
        <v>243</v>
      </c>
      <c r="Z13" s="163" t="s">
        <v>158</v>
      </c>
    </row>
    <row r="14" spans="1:26" ht="9.75" customHeight="1">
      <c r="A14" s="163"/>
      <c r="B14" s="163"/>
      <c r="C14" s="163" t="s">
        <v>244</v>
      </c>
      <c r="D14" s="163" t="s">
        <v>241</v>
      </c>
      <c r="E14" s="163" t="s">
        <v>221</v>
      </c>
      <c r="F14" s="163"/>
      <c r="G14" s="163"/>
      <c r="H14" s="163"/>
      <c r="I14" s="163"/>
      <c r="J14" s="163"/>
      <c r="K14" s="163"/>
      <c r="L14" s="269"/>
      <c r="M14" s="163"/>
      <c r="N14" s="163"/>
      <c r="O14" s="163"/>
      <c r="P14" s="163"/>
      <c r="Q14" s="163"/>
      <c r="R14" s="163" t="s">
        <v>245</v>
      </c>
      <c r="S14" s="163"/>
      <c r="T14" s="163"/>
      <c r="U14" s="163"/>
      <c r="V14" s="163">
        <v>14</v>
      </c>
      <c r="W14" s="163"/>
      <c r="X14" s="163"/>
      <c r="Y14" s="163" t="s">
        <v>246</v>
      </c>
      <c r="Z14" s="163" t="s">
        <v>152</v>
      </c>
    </row>
    <row r="15" spans="1:26" ht="9.75" customHeight="1">
      <c r="A15" s="163"/>
      <c r="B15" s="163"/>
      <c r="C15" s="163" t="s">
        <v>247</v>
      </c>
      <c r="D15" s="163" t="s">
        <v>241</v>
      </c>
      <c r="E15" s="163" t="s">
        <v>221</v>
      </c>
      <c r="F15" s="163"/>
      <c r="G15" s="163"/>
      <c r="H15" s="163"/>
      <c r="I15" s="169" t="s">
        <v>248</v>
      </c>
      <c r="J15" s="163"/>
      <c r="K15" s="163"/>
      <c r="L15" s="169" t="s">
        <v>249</v>
      </c>
      <c r="M15" s="163"/>
      <c r="N15" s="163"/>
      <c r="O15" s="163"/>
      <c r="P15" s="163"/>
      <c r="Q15" s="163"/>
      <c r="R15" s="163" t="s">
        <v>250</v>
      </c>
      <c r="S15" s="163"/>
      <c r="T15" s="163"/>
      <c r="U15" s="163"/>
      <c r="V15" s="165">
        <v>15</v>
      </c>
      <c r="W15" s="163"/>
      <c r="X15" s="163"/>
      <c r="Y15" s="163" t="s">
        <v>251</v>
      </c>
      <c r="Z15" s="163" t="s">
        <v>155</v>
      </c>
    </row>
    <row r="16" spans="1:26" ht="9.75" customHeight="1">
      <c r="A16" s="163"/>
      <c r="B16" s="163"/>
      <c r="C16" s="163" t="s">
        <v>252</v>
      </c>
      <c r="D16" s="163" t="s">
        <v>241</v>
      </c>
      <c r="E16" s="163" t="s">
        <v>221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 t="s">
        <v>253</v>
      </c>
      <c r="S16" s="163"/>
      <c r="T16" s="163"/>
      <c r="U16" s="163"/>
      <c r="V16" s="163">
        <v>16</v>
      </c>
      <c r="W16" s="163"/>
      <c r="X16" s="163"/>
      <c r="Y16" s="163" t="s">
        <v>254</v>
      </c>
      <c r="Z16" s="163" t="s">
        <v>158</v>
      </c>
    </row>
    <row r="17" spans="1:26" ht="9.75" customHeight="1">
      <c r="A17" s="163"/>
      <c r="B17" s="163"/>
      <c r="C17" s="163" t="s">
        <v>255</v>
      </c>
      <c r="D17" s="163" t="s">
        <v>256</v>
      </c>
      <c r="E17" s="163" t="s">
        <v>221</v>
      </c>
      <c r="F17" s="163"/>
      <c r="G17" s="163"/>
      <c r="H17" s="163"/>
      <c r="I17" s="167" t="s">
        <v>98</v>
      </c>
      <c r="J17" s="163"/>
      <c r="K17" s="163"/>
      <c r="L17" s="163" t="s">
        <v>257</v>
      </c>
      <c r="M17" s="163"/>
      <c r="N17" s="163"/>
      <c r="O17" s="163"/>
      <c r="P17" s="163"/>
      <c r="Q17" s="163"/>
      <c r="R17" s="163" t="s">
        <v>258</v>
      </c>
      <c r="S17" s="163"/>
      <c r="T17" s="163"/>
      <c r="U17" s="163"/>
      <c r="V17" s="163">
        <v>17</v>
      </c>
      <c r="W17" s="163"/>
      <c r="X17" s="163"/>
      <c r="Y17" s="163" t="s">
        <v>259</v>
      </c>
      <c r="Z17" s="163" t="s">
        <v>158</v>
      </c>
    </row>
    <row r="18" spans="1:26" ht="9.75" customHeight="1">
      <c r="A18" s="163"/>
      <c r="B18" s="163"/>
      <c r="C18" s="163" t="s">
        <v>260</v>
      </c>
      <c r="D18" s="163" t="s">
        <v>256</v>
      </c>
      <c r="E18" s="163" t="s">
        <v>221</v>
      </c>
      <c r="F18" s="163"/>
      <c r="G18" s="163"/>
      <c r="H18" s="163"/>
      <c r="I18" s="163" t="s">
        <v>261</v>
      </c>
      <c r="J18" s="163"/>
      <c r="K18" s="163"/>
      <c r="L18" s="163" t="s">
        <v>262</v>
      </c>
      <c r="M18" s="163"/>
      <c r="N18" s="163"/>
      <c r="O18" s="163"/>
      <c r="P18" s="163"/>
      <c r="Q18" s="163"/>
      <c r="R18" s="163" t="s">
        <v>263</v>
      </c>
      <c r="S18" s="163"/>
      <c r="T18" s="163"/>
      <c r="U18" s="163"/>
      <c r="V18" s="163">
        <v>18</v>
      </c>
      <c r="W18" s="163"/>
      <c r="X18" s="163"/>
      <c r="Y18" s="163" t="s">
        <v>264</v>
      </c>
      <c r="Z18" s="163" t="s">
        <v>152</v>
      </c>
    </row>
    <row r="19" spans="1:26" ht="9.75" customHeight="1">
      <c r="A19" s="163"/>
      <c r="B19" s="163"/>
      <c r="C19" s="163" t="s">
        <v>265</v>
      </c>
      <c r="D19" s="163" t="s">
        <v>256</v>
      </c>
      <c r="E19" s="163" t="s">
        <v>221</v>
      </c>
      <c r="F19" s="163"/>
      <c r="G19" s="163"/>
      <c r="H19" s="163"/>
      <c r="I19" s="163" t="s">
        <v>266</v>
      </c>
      <c r="J19" s="163"/>
      <c r="K19" s="163"/>
      <c r="L19" s="163" t="s">
        <v>267</v>
      </c>
      <c r="M19" s="163"/>
      <c r="N19" s="163"/>
      <c r="O19" s="163"/>
      <c r="P19" s="163"/>
      <c r="Q19" s="163"/>
      <c r="R19" s="163" t="s">
        <v>268</v>
      </c>
      <c r="S19" s="163"/>
      <c r="T19" s="163"/>
      <c r="U19" s="163"/>
      <c r="V19" s="165">
        <v>19</v>
      </c>
      <c r="W19" s="163"/>
      <c r="X19" s="163"/>
      <c r="Y19" s="163" t="s">
        <v>269</v>
      </c>
      <c r="Z19" s="163" t="s">
        <v>270</v>
      </c>
    </row>
    <row r="20" spans="1:26" ht="9.75" customHeight="1">
      <c r="A20" s="163"/>
      <c r="B20" s="163"/>
      <c r="C20" s="163" t="s">
        <v>271</v>
      </c>
      <c r="D20" s="163" t="s">
        <v>256</v>
      </c>
      <c r="E20" s="163" t="s">
        <v>221</v>
      </c>
      <c r="F20" s="163"/>
      <c r="G20" s="163"/>
      <c r="H20" s="163"/>
      <c r="I20" s="163" t="s">
        <v>272</v>
      </c>
      <c r="J20" s="163"/>
      <c r="K20" s="163"/>
      <c r="L20" s="163" t="s">
        <v>273</v>
      </c>
      <c r="M20" s="163"/>
      <c r="N20" s="163"/>
      <c r="O20" s="163"/>
      <c r="P20" s="163"/>
      <c r="Q20" s="163"/>
      <c r="R20" s="163" t="s">
        <v>274</v>
      </c>
      <c r="S20" s="163"/>
      <c r="T20" s="163"/>
      <c r="U20" s="163"/>
      <c r="V20" s="163">
        <v>20</v>
      </c>
      <c r="W20" s="163"/>
      <c r="X20" s="163"/>
      <c r="Y20" s="163" t="s">
        <v>275</v>
      </c>
      <c r="Z20" s="163" t="s">
        <v>158</v>
      </c>
    </row>
    <row r="21" spans="1:26" ht="9.75" customHeight="1">
      <c r="A21" s="163"/>
      <c r="B21" s="163"/>
      <c r="C21" s="163" t="s">
        <v>276</v>
      </c>
      <c r="D21" s="163" t="s">
        <v>256</v>
      </c>
      <c r="E21" s="163" t="s">
        <v>221</v>
      </c>
      <c r="F21" s="163"/>
      <c r="G21" s="163"/>
      <c r="H21" s="163"/>
      <c r="I21" s="163" t="s">
        <v>277</v>
      </c>
      <c r="J21" s="163"/>
      <c r="K21" s="163"/>
      <c r="L21" s="163"/>
      <c r="M21" s="163"/>
      <c r="N21" s="163"/>
      <c r="O21" s="163"/>
      <c r="P21" s="163"/>
      <c r="Q21" s="163"/>
      <c r="R21" s="163" t="s">
        <v>278</v>
      </c>
      <c r="S21" s="163"/>
      <c r="T21" s="163"/>
      <c r="U21" s="163"/>
      <c r="V21" s="163">
        <v>21</v>
      </c>
      <c r="W21" s="163"/>
      <c r="X21" s="163"/>
      <c r="Y21" s="163" t="s">
        <v>279</v>
      </c>
      <c r="Z21" s="163" t="s">
        <v>158</v>
      </c>
    </row>
    <row r="22" spans="1:26" ht="9.75" customHeight="1">
      <c r="A22" s="163"/>
      <c r="B22" s="163"/>
      <c r="C22" s="163" t="s">
        <v>280</v>
      </c>
      <c r="D22" s="163" t="s">
        <v>256</v>
      </c>
      <c r="E22" s="163" t="s">
        <v>221</v>
      </c>
      <c r="F22" s="163"/>
      <c r="G22" s="163"/>
      <c r="H22" s="163"/>
      <c r="I22" s="163" t="s">
        <v>281</v>
      </c>
      <c r="J22" s="163"/>
      <c r="K22" s="163"/>
      <c r="L22" s="163"/>
      <c r="M22" s="163"/>
      <c r="N22" s="163"/>
      <c r="O22" s="163"/>
      <c r="P22" s="163"/>
      <c r="Q22" s="163"/>
      <c r="R22" s="163" t="s">
        <v>282</v>
      </c>
      <c r="S22" s="163"/>
      <c r="T22" s="163"/>
      <c r="U22" s="163"/>
      <c r="V22" s="163">
        <v>22</v>
      </c>
      <c r="W22" s="163"/>
      <c r="X22" s="163"/>
      <c r="Y22" s="163" t="s">
        <v>283</v>
      </c>
      <c r="Z22" s="163" t="s">
        <v>152</v>
      </c>
    </row>
    <row r="23" spans="1:26" ht="9.75" customHeight="1">
      <c r="A23" s="163"/>
      <c r="B23" s="163"/>
      <c r="C23" s="163" t="s">
        <v>284</v>
      </c>
      <c r="D23" s="163" t="s">
        <v>285</v>
      </c>
      <c r="E23" s="163" t="s">
        <v>221</v>
      </c>
      <c r="F23" s="163"/>
      <c r="G23" s="163"/>
      <c r="H23" s="163"/>
      <c r="I23" s="163" t="s">
        <v>286</v>
      </c>
      <c r="J23" s="163"/>
      <c r="K23" s="163"/>
      <c r="L23" s="163"/>
      <c r="M23" s="163"/>
      <c r="N23" s="163"/>
      <c r="O23" s="163"/>
      <c r="P23" s="163"/>
      <c r="Q23" s="163"/>
      <c r="R23" s="163" t="s">
        <v>287</v>
      </c>
      <c r="S23" s="163"/>
      <c r="T23" s="163"/>
      <c r="U23" s="163"/>
      <c r="V23" s="165">
        <v>23</v>
      </c>
      <c r="W23" s="163"/>
      <c r="X23" s="163"/>
      <c r="Y23" s="163" t="s">
        <v>288</v>
      </c>
      <c r="Z23" s="163" t="s">
        <v>270</v>
      </c>
    </row>
    <row r="24" spans="1:26" ht="9.75" customHeight="1">
      <c r="A24" s="163"/>
      <c r="B24" s="163"/>
      <c r="C24" s="163" t="s">
        <v>289</v>
      </c>
      <c r="D24" s="163" t="s">
        <v>285</v>
      </c>
      <c r="E24" s="163" t="s">
        <v>221</v>
      </c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7" t="s">
        <v>290</v>
      </c>
      <c r="S24" s="163"/>
      <c r="T24" s="163"/>
      <c r="U24" s="163"/>
      <c r="V24" s="163">
        <v>24</v>
      </c>
      <c r="W24" s="163"/>
      <c r="X24" s="163"/>
      <c r="Y24" s="163" t="s">
        <v>291</v>
      </c>
      <c r="Z24" s="163" t="s">
        <v>270</v>
      </c>
    </row>
    <row r="25" spans="1:26" ht="9.75" customHeight="1">
      <c r="A25" s="163"/>
      <c r="B25" s="163"/>
      <c r="C25" s="163" t="s">
        <v>292</v>
      </c>
      <c r="D25" s="163" t="s">
        <v>285</v>
      </c>
      <c r="E25" s="163" t="s">
        <v>221</v>
      </c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7" t="s">
        <v>293</v>
      </c>
      <c r="S25" s="163"/>
      <c r="T25" s="163"/>
      <c r="U25" s="163"/>
      <c r="V25" s="163">
        <v>25</v>
      </c>
      <c r="W25" s="163"/>
      <c r="X25" s="163"/>
      <c r="Y25" s="163" t="s">
        <v>294</v>
      </c>
      <c r="Z25" s="163" t="s">
        <v>158</v>
      </c>
    </row>
    <row r="26" spans="1:26" ht="9.75" customHeight="1">
      <c r="A26" s="163"/>
      <c r="B26" s="163"/>
      <c r="C26" s="163" t="s">
        <v>295</v>
      </c>
      <c r="D26" s="163" t="s">
        <v>285</v>
      </c>
      <c r="E26" s="163" t="s">
        <v>221</v>
      </c>
      <c r="F26" s="163"/>
      <c r="G26" s="163"/>
      <c r="H26" s="163"/>
      <c r="I26" s="163" t="s">
        <v>296</v>
      </c>
      <c r="J26" s="163"/>
      <c r="K26" s="163"/>
      <c r="L26" s="163" t="s">
        <v>297</v>
      </c>
      <c r="M26" s="163"/>
      <c r="N26" s="163"/>
      <c r="O26" s="163" t="s">
        <v>298</v>
      </c>
      <c r="P26" s="163"/>
      <c r="Q26" s="163"/>
      <c r="R26" s="167" t="s">
        <v>299</v>
      </c>
      <c r="S26" s="163"/>
      <c r="T26" s="163"/>
      <c r="U26" s="163"/>
      <c r="V26" s="163">
        <v>26</v>
      </c>
      <c r="W26" s="163"/>
      <c r="X26" s="163"/>
      <c r="Y26" s="163" t="s">
        <v>300</v>
      </c>
      <c r="Z26" s="163" t="s">
        <v>152</v>
      </c>
    </row>
    <row r="27" spans="1:26" ht="9.75" customHeight="1">
      <c r="A27" s="163"/>
      <c r="B27" s="163"/>
      <c r="C27" s="163" t="s">
        <v>301</v>
      </c>
      <c r="D27" s="163" t="s">
        <v>285</v>
      </c>
      <c r="E27" s="163" t="s">
        <v>221</v>
      </c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7" t="s">
        <v>286</v>
      </c>
      <c r="S27" s="163"/>
      <c r="T27" s="163"/>
      <c r="U27" s="163"/>
      <c r="V27" s="165">
        <v>27</v>
      </c>
      <c r="W27" s="163"/>
      <c r="X27" s="163"/>
      <c r="Y27" s="163" t="s">
        <v>302</v>
      </c>
      <c r="Z27" s="163" t="s">
        <v>270</v>
      </c>
    </row>
    <row r="28" spans="1:26" ht="9.75" customHeight="1">
      <c r="A28" s="163"/>
      <c r="B28" s="163"/>
      <c r="C28" s="163" t="s">
        <v>303</v>
      </c>
      <c r="D28" s="163" t="s">
        <v>285</v>
      </c>
      <c r="E28" s="163" t="s">
        <v>221</v>
      </c>
      <c r="F28" s="163"/>
      <c r="G28" s="163"/>
      <c r="H28" s="163" t="s">
        <v>226</v>
      </c>
      <c r="I28" s="163" t="b">
        <f t="array" ref="I28">ISTEXT(INDEX(J$9:J$28, MATCH("ver*", J$9:J$28, 0), 1))</f>
        <v>0</v>
      </c>
      <c r="J28" s="163"/>
      <c r="K28" s="163" t="s">
        <v>226</v>
      </c>
      <c r="L28" s="163" t="s">
        <v>304</v>
      </c>
      <c r="M28" s="163"/>
      <c r="N28" s="163"/>
      <c r="O28" s="163"/>
      <c r="P28" s="163"/>
      <c r="Q28" s="163"/>
      <c r="R28" s="269"/>
      <c r="S28" s="163"/>
      <c r="T28" s="163"/>
      <c r="U28" s="163"/>
      <c r="V28" s="163">
        <v>28</v>
      </c>
      <c r="W28" s="163"/>
      <c r="X28" s="163"/>
      <c r="Y28" s="163" t="s">
        <v>305</v>
      </c>
      <c r="Z28" s="163" t="s">
        <v>270</v>
      </c>
    </row>
    <row r="29" spans="1:26" ht="9.75" customHeight="1">
      <c r="A29" s="163"/>
      <c r="B29" s="163"/>
      <c r="C29" s="163" t="s">
        <v>306</v>
      </c>
      <c r="D29" s="163" t="s">
        <v>307</v>
      </c>
      <c r="E29" s="163" t="s">
        <v>221</v>
      </c>
      <c r="F29" s="163"/>
      <c r="G29" s="163"/>
      <c r="H29" s="163"/>
      <c r="I29" s="163"/>
      <c r="J29" s="163"/>
      <c r="K29" s="163" t="s">
        <v>226</v>
      </c>
      <c r="L29" s="163" t="b">
        <f t="array" ref="L29">ISTEXT(INDEX(J$9:J$28, MATCH("hig*", J$9:J$28, 0), 1))</f>
        <v>0</v>
      </c>
      <c r="M29" s="163"/>
      <c r="N29" s="163"/>
      <c r="O29" s="163"/>
      <c r="P29" s="163"/>
      <c r="Q29" s="163"/>
      <c r="R29" s="163"/>
      <c r="S29" s="163"/>
      <c r="T29" s="163"/>
      <c r="U29" s="163"/>
      <c r="V29" s="163">
        <v>29</v>
      </c>
      <c r="W29" s="163"/>
      <c r="X29" s="163"/>
      <c r="Y29" s="163" t="s">
        <v>308</v>
      </c>
      <c r="Z29" s="163" t="s">
        <v>270</v>
      </c>
    </row>
    <row r="30" spans="1:26" ht="9.75" customHeight="1">
      <c r="A30" s="163"/>
      <c r="B30" s="163"/>
      <c r="C30" s="163" t="s">
        <v>309</v>
      </c>
      <c r="D30" s="163" t="s">
        <v>307</v>
      </c>
      <c r="E30" s="163" t="s">
        <v>221</v>
      </c>
      <c r="F30" s="163"/>
      <c r="G30" s="163"/>
      <c r="H30" s="163"/>
      <c r="I30" s="163"/>
      <c r="J30" s="163"/>
      <c r="K30" s="163" t="s">
        <v>226</v>
      </c>
      <c r="L30" s="163" t="b">
        <f t="array" ref="L30">ISTEXT(INDEX(J$9:J$28, MATCH("med*", J$9:J$28, 0), 1))</f>
        <v>0</v>
      </c>
      <c r="M30" s="163"/>
      <c r="N30" s="163"/>
      <c r="O30" s="163"/>
      <c r="P30" s="163"/>
      <c r="Q30" s="163"/>
      <c r="R30" s="163"/>
      <c r="S30" s="163"/>
      <c r="T30" s="163"/>
      <c r="U30" s="163"/>
      <c r="V30" s="165">
        <v>30</v>
      </c>
      <c r="W30" s="163"/>
      <c r="X30" s="163"/>
      <c r="Y30" s="269"/>
      <c r="Z30" s="163"/>
    </row>
    <row r="31" spans="1:26" ht="9.75" customHeight="1">
      <c r="A31" s="163"/>
      <c r="B31" s="163"/>
      <c r="C31" s="163" t="s">
        <v>310</v>
      </c>
      <c r="D31" s="163" t="s">
        <v>307</v>
      </c>
      <c r="E31" s="163" t="s">
        <v>221</v>
      </c>
      <c r="F31" s="163"/>
      <c r="G31" s="163"/>
      <c r="H31" s="163"/>
      <c r="I31" s="163"/>
      <c r="J31" s="163"/>
      <c r="K31" s="163" t="s">
        <v>226</v>
      </c>
      <c r="L31" s="163" t="b">
        <f t="array" ref="L31">ISTEXT(INDEX(J$9:J$28, MATCH("lo*", J$9:J$28, 0), 1))</f>
        <v>0</v>
      </c>
      <c r="M31" s="163"/>
      <c r="N31" s="163"/>
      <c r="O31" s="163"/>
      <c r="P31" s="163"/>
      <c r="Q31" s="163"/>
      <c r="R31" s="163"/>
      <c r="S31" s="163"/>
      <c r="T31" s="163"/>
      <c r="U31" s="163"/>
      <c r="V31" s="163">
        <v>31</v>
      </c>
      <c r="W31" s="163"/>
      <c r="X31" s="163"/>
      <c r="Y31" s="269"/>
      <c r="Z31" s="163"/>
    </row>
    <row r="32" spans="1:26" ht="9.75" customHeight="1">
      <c r="A32" s="163"/>
      <c r="B32" s="163"/>
      <c r="C32" s="163" t="s">
        <v>311</v>
      </c>
      <c r="D32" s="163" t="s">
        <v>307</v>
      </c>
      <c r="E32" s="163" t="s">
        <v>221</v>
      </c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>
        <v>32</v>
      </c>
      <c r="W32" s="163"/>
      <c r="X32" s="163"/>
      <c r="Y32" s="269"/>
      <c r="Z32" s="163"/>
    </row>
    <row r="33" spans="1:26" ht="9.75" customHeight="1">
      <c r="A33" s="163"/>
      <c r="B33" s="163"/>
      <c r="C33" s="163" t="s">
        <v>312</v>
      </c>
      <c r="D33" s="163" t="s">
        <v>307</v>
      </c>
      <c r="E33" s="163" t="s">
        <v>221</v>
      </c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5">
        <v>33</v>
      </c>
      <c r="W33" s="163"/>
      <c r="X33" s="163"/>
      <c r="Y33" s="269"/>
      <c r="Z33" s="163"/>
    </row>
    <row r="34" spans="1:26" ht="9.75" customHeight="1">
      <c r="A34" s="163"/>
      <c r="B34" s="163"/>
      <c r="C34" s="163" t="s">
        <v>313</v>
      </c>
      <c r="D34" s="163" t="s">
        <v>307</v>
      </c>
      <c r="E34" s="163" t="s">
        <v>221</v>
      </c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>
        <v>34</v>
      </c>
      <c r="W34" s="163"/>
      <c r="X34" s="163"/>
      <c r="Y34" s="269"/>
      <c r="Z34" s="163"/>
    </row>
    <row r="35" spans="1:26" ht="9.75" customHeight="1">
      <c r="A35" s="163"/>
      <c r="B35" s="163"/>
      <c r="C35" s="163" t="s">
        <v>314</v>
      </c>
      <c r="D35" s="163" t="s">
        <v>315</v>
      </c>
      <c r="E35" s="163" t="s">
        <v>221</v>
      </c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>
        <v>35</v>
      </c>
      <c r="W35" s="163"/>
      <c r="X35" s="163"/>
      <c r="Y35" s="163"/>
      <c r="Z35" s="163"/>
    </row>
    <row r="36" spans="1:26" ht="9.75" customHeight="1">
      <c r="A36" s="163"/>
      <c r="B36" s="163"/>
      <c r="C36" s="163" t="s">
        <v>316</v>
      </c>
      <c r="D36" s="163" t="s">
        <v>315</v>
      </c>
      <c r="E36" s="163" t="s">
        <v>221</v>
      </c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5">
        <v>36</v>
      </c>
      <c r="W36" s="163"/>
      <c r="X36" s="163"/>
      <c r="Y36" s="163"/>
      <c r="Z36" s="163"/>
    </row>
    <row r="37" spans="1:26" ht="9.75" customHeight="1">
      <c r="A37" s="163"/>
      <c r="B37" s="163"/>
      <c r="C37" s="163" t="s">
        <v>317</v>
      </c>
      <c r="D37" s="163" t="s">
        <v>315</v>
      </c>
      <c r="E37" s="163" t="s">
        <v>221</v>
      </c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>
        <v>37</v>
      </c>
      <c r="W37" s="163"/>
      <c r="X37" s="163"/>
      <c r="Y37" s="163"/>
      <c r="Z37" s="163"/>
    </row>
    <row r="38" spans="1:26" ht="9.75" customHeight="1">
      <c r="A38" s="163"/>
      <c r="B38" s="163"/>
      <c r="C38" s="163" t="s">
        <v>318</v>
      </c>
      <c r="D38" s="163" t="s">
        <v>315</v>
      </c>
      <c r="E38" s="163" t="s">
        <v>221</v>
      </c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>
        <v>38</v>
      </c>
      <c r="W38" s="163"/>
      <c r="X38" s="163"/>
      <c r="Y38" s="163"/>
      <c r="Z38" s="163"/>
    </row>
    <row r="39" spans="1:26" ht="9.75" customHeight="1">
      <c r="A39" s="163"/>
      <c r="B39" s="163"/>
      <c r="C39" s="163" t="s">
        <v>319</v>
      </c>
      <c r="D39" s="163" t="s">
        <v>315</v>
      </c>
      <c r="E39" s="163" t="s">
        <v>221</v>
      </c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5">
        <v>39</v>
      </c>
      <c r="W39" s="163"/>
      <c r="X39" s="163"/>
      <c r="Y39" s="163"/>
      <c r="Z39" s="163"/>
    </row>
    <row r="40" spans="1:26" ht="9.75" customHeight="1">
      <c r="A40" s="163"/>
      <c r="B40" s="163"/>
      <c r="C40" s="163" t="s">
        <v>320</v>
      </c>
      <c r="D40" s="163" t="s">
        <v>315</v>
      </c>
      <c r="E40" s="163" t="s">
        <v>221</v>
      </c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>
        <v>40</v>
      </c>
      <c r="W40" s="163"/>
      <c r="X40" s="163"/>
      <c r="Y40" s="163"/>
      <c r="Z40" s="163"/>
    </row>
    <row r="41" spans="1:26" ht="9.75" customHeight="1">
      <c r="A41" s="163"/>
      <c r="B41" s="163"/>
      <c r="C41" s="163" t="s">
        <v>321</v>
      </c>
      <c r="D41" s="163" t="s">
        <v>322</v>
      </c>
      <c r="E41" s="163" t="s">
        <v>221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>
        <v>41</v>
      </c>
      <c r="W41" s="163"/>
      <c r="X41" s="163"/>
      <c r="Y41" s="163"/>
      <c r="Z41" s="163"/>
    </row>
    <row r="42" spans="1:26" ht="9.75" customHeight="1">
      <c r="A42" s="163"/>
      <c r="B42" s="163"/>
      <c r="C42" s="163" t="s">
        <v>323</v>
      </c>
      <c r="D42" s="163" t="s">
        <v>322</v>
      </c>
      <c r="E42" s="163" t="s">
        <v>221</v>
      </c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5">
        <v>42</v>
      </c>
      <c r="W42" s="163"/>
      <c r="X42" s="163"/>
      <c r="Y42" s="163"/>
      <c r="Z42" s="163"/>
    </row>
    <row r="43" spans="1:26" ht="9.75" customHeight="1">
      <c r="A43" s="163"/>
      <c r="B43" s="163"/>
      <c r="C43" s="163" t="s">
        <v>324</v>
      </c>
      <c r="D43" s="163" t="s">
        <v>322</v>
      </c>
      <c r="E43" s="163" t="s">
        <v>221</v>
      </c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>
        <v>43</v>
      </c>
      <c r="W43" s="163"/>
      <c r="X43" s="163"/>
      <c r="Y43" s="163"/>
      <c r="Z43" s="163"/>
    </row>
    <row r="44" spans="1:26" ht="9.75" customHeight="1">
      <c r="A44" s="163"/>
      <c r="B44" s="163"/>
      <c r="C44" s="163" t="s">
        <v>325</v>
      </c>
      <c r="D44" s="163" t="s">
        <v>322</v>
      </c>
      <c r="E44" s="163" t="s">
        <v>221</v>
      </c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>
        <v>44</v>
      </c>
      <c r="W44" s="163"/>
      <c r="X44" s="163"/>
      <c r="Y44" s="163"/>
      <c r="Z44" s="163"/>
    </row>
    <row r="45" spans="1:26" ht="9.75" customHeight="1">
      <c r="A45" s="163"/>
      <c r="B45" s="163"/>
      <c r="C45" s="163" t="s">
        <v>326</v>
      </c>
      <c r="D45" s="163" t="s">
        <v>322</v>
      </c>
      <c r="E45" s="163" t="s">
        <v>221</v>
      </c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5">
        <v>45</v>
      </c>
      <c r="W45" s="163"/>
      <c r="X45" s="163"/>
      <c r="Y45" s="163"/>
      <c r="Z45" s="163"/>
    </row>
    <row r="46" spans="1:26" ht="9.75" customHeight="1">
      <c r="A46" s="163"/>
      <c r="B46" s="163"/>
      <c r="C46" s="163" t="s">
        <v>327</v>
      </c>
      <c r="D46" s="163" t="s">
        <v>328</v>
      </c>
      <c r="E46" s="163" t="s">
        <v>221</v>
      </c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>
        <v>46</v>
      </c>
      <c r="W46" s="163"/>
      <c r="X46" s="163"/>
      <c r="Y46" s="163"/>
      <c r="Z46" s="163"/>
    </row>
    <row r="47" spans="1:26" ht="9.75" customHeight="1">
      <c r="A47" s="163"/>
      <c r="B47" s="163"/>
      <c r="C47" s="163" t="s">
        <v>329</v>
      </c>
      <c r="D47" s="163" t="s">
        <v>328</v>
      </c>
      <c r="E47" s="163" t="s">
        <v>221</v>
      </c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>
        <v>47</v>
      </c>
      <c r="W47" s="163"/>
      <c r="X47" s="163"/>
      <c r="Y47" s="163"/>
      <c r="Z47" s="163"/>
    </row>
    <row r="48" spans="1:26" ht="9.75" customHeight="1">
      <c r="A48" s="163"/>
      <c r="B48" s="163"/>
      <c r="C48" s="163" t="s">
        <v>330</v>
      </c>
      <c r="D48" s="163" t="s">
        <v>328</v>
      </c>
      <c r="E48" s="163" t="s">
        <v>221</v>
      </c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5">
        <v>48</v>
      </c>
      <c r="W48" s="163"/>
      <c r="X48" s="163"/>
      <c r="Y48" s="163"/>
      <c r="Z48" s="163"/>
    </row>
    <row r="49" spans="1:26" ht="9.75" customHeight="1">
      <c r="A49" s="163"/>
      <c r="B49" s="163"/>
      <c r="C49" s="163" t="s">
        <v>331</v>
      </c>
      <c r="D49" s="163" t="s">
        <v>328</v>
      </c>
      <c r="E49" s="163" t="s">
        <v>221</v>
      </c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>
        <v>49</v>
      </c>
      <c r="W49" s="163"/>
      <c r="X49" s="163"/>
      <c r="Y49" s="163"/>
      <c r="Z49" s="163"/>
    </row>
    <row r="50" spans="1:26" ht="9.75" customHeight="1">
      <c r="A50" s="163"/>
      <c r="B50" s="163"/>
      <c r="C50" s="163" t="s">
        <v>332</v>
      </c>
      <c r="D50" s="163" t="s">
        <v>328</v>
      </c>
      <c r="E50" s="163" t="s">
        <v>221</v>
      </c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>
        <v>50</v>
      </c>
      <c r="W50" s="163"/>
      <c r="X50" s="163"/>
      <c r="Y50" s="163"/>
      <c r="Z50" s="163"/>
    </row>
    <row r="51" spans="1:26" ht="9.75" customHeight="1">
      <c r="A51" s="163"/>
      <c r="B51" s="163"/>
      <c r="C51" s="170" t="s">
        <v>333</v>
      </c>
      <c r="D51" s="163" t="s">
        <v>328</v>
      </c>
      <c r="E51" s="163" t="s">
        <v>221</v>
      </c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5">
        <v>51</v>
      </c>
      <c r="W51" s="163"/>
      <c r="X51" s="163"/>
      <c r="Y51" s="163"/>
      <c r="Z51" s="163"/>
    </row>
    <row r="52" spans="1:26" ht="9.75" customHeight="1">
      <c r="A52" s="163"/>
      <c r="B52" s="163"/>
      <c r="C52" s="168" t="s">
        <v>334</v>
      </c>
      <c r="D52" s="163" t="s">
        <v>211</v>
      </c>
      <c r="E52" s="163" t="s">
        <v>212</v>
      </c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>
        <v>52</v>
      </c>
      <c r="W52" s="163"/>
      <c r="X52" s="163"/>
      <c r="Y52" s="163"/>
      <c r="Z52" s="163"/>
    </row>
    <row r="53" spans="1:26" ht="9.75" customHeight="1">
      <c r="A53" s="163"/>
      <c r="B53" s="163"/>
      <c r="C53" s="163" t="s">
        <v>335</v>
      </c>
      <c r="D53" s="163" t="s">
        <v>336</v>
      </c>
      <c r="E53" s="163" t="s">
        <v>337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>
        <v>53</v>
      </c>
      <c r="W53" s="163"/>
      <c r="X53" s="163"/>
      <c r="Y53" s="163"/>
      <c r="Z53" s="163"/>
    </row>
    <row r="54" spans="1:26" ht="9.75" customHeight="1">
      <c r="A54" s="163"/>
      <c r="B54" s="163"/>
      <c r="C54" s="163" t="s">
        <v>338</v>
      </c>
      <c r="D54" s="163" t="s">
        <v>336</v>
      </c>
      <c r="E54" s="163" t="s">
        <v>337</v>
      </c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</row>
    <row r="55" spans="1:26" ht="9.75" customHeight="1">
      <c r="A55" s="163"/>
      <c r="B55" s="163"/>
      <c r="C55" s="163" t="s">
        <v>339</v>
      </c>
      <c r="D55" s="163" t="s">
        <v>336</v>
      </c>
      <c r="E55" s="163" t="s">
        <v>337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</row>
    <row r="56" spans="1:26" ht="9.75" customHeight="1">
      <c r="A56" s="163"/>
      <c r="B56" s="163"/>
      <c r="C56" s="163" t="s">
        <v>340</v>
      </c>
      <c r="D56" s="163" t="s">
        <v>336</v>
      </c>
      <c r="E56" s="163" t="s">
        <v>337</v>
      </c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</row>
    <row r="57" spans="1:26" ht="9.75" customHeight="1">
      <c r="A57" s="163"/>
      <c r="B57" s="163"/>
      <c r="C57" s="170" t="s">
        <v>341</v>
      </c>
      <c r="D57" s="163" t="s">
        <v>336</v>
      </c>
      <c r="E57" s="163" t="s">
        <v>337</v>
      </c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</row>
    <row r="58" spans="1:26" ht="9.75" customHeight="1">
      <c r="A58" s="163"/>
      <c r="B58" s="163"/>
      <c r="C58" s="163" t="s">
        <v>342</v>
      </c>
      <c r="D58" s="163" t="s">
        <v>343</v>
      </c>
      <c r="E58" s="163" t="s">
        <v>337</v>
      </c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</row>
    <row r="59" spans="1:26" ht="9.75" customHeight="1">
      <c r="A59" s="163"/>
      <c r="B59" s="163"/>
      <c r="C59" s="163" t="s">
        <v>344</v>
      </c>
      <c r="D59" s="163" t="s">
        <v>343</v>
      </c>
      <c r="E59" s="163" t="s">
        <v>337</v>
      </c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</row>
    <row r="60" spans="1:26" ht="9.75" customHeight="1">
      <c r="A60" s="163"/>
      <c r="B60" s="163"/>
      <c r="C60" s="163" t="s">
        <v>345</v>
      </c>
      <c r="D60" s="163" t="s">
        <v>343</v>
      </c>
      <c r="E60" s="163" t="s">
        <v>337</v>
      </c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</row>
    <row r="61" spans="1:26" ht="9.75" customHeight="1">
      <c r="A61" s="163"/>
      <c r="B61" s="163"/>
      <c r="C61" s="163" t="s">
        <v>346</v>
      </c>
      <c r="D61" s="163" t="s">
        <v>343</v>
      </c>
      <c r="E61" s="163" t="s">
        <v>337</v>
      </c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spans="1:26" ht="9.75" customHeight="1">
      <c r="A62" s="163"/>
      <c r="B62" s="163"/>
      <c r="C62" s="163" t="s">
        <v>347</v>
      </c>
      <c r="D62" s="163" t="s">
        <v>343</v>
      </c>
      <c r="E62" s="163" t="s">
        <v>337</v>
      </c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</row>
    <row r="63" spans="1:26" ht="9.75" customHeight="1">
      <c r="A63" s="163"/>
      <c r="B63" s="163"/>
      <c r="C63" s="163" t="s">
        <v>348</v>
      </c>
      <c r="D63" s="163" t="s">
        <v>343</v>
      </c>
      <c r="E63" s="163" t="s">
        <v>337</v>
      </c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</row>
    <row r="64" spans="1:26" ht="9.75" customHeight="1">
      <c r="A64" s="163"/>
      <c r="B64" s="163"/>
      <c r="C64" s="163" t="s">
        <v>349</v>
      </c>
      <c r="D64" s="163" t="s">
        <v>343</v>
      </c>
      <c r="E64" s="163" t="s">
        <v>337</v>
      </c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</row>
    <row r="65" spans="1:26" ht="9.75" customHeight="1">
      <c r="A65" s="163"/>
      <c r="B65" s="163"/>
      <c r="C65" s="163" t="s">
        <v>350</v>
      </c>
      <c r="D65" s="163" t="s">
        <v>351</v>
      </c>
      <c r="E65" s="163" t="s">
        <v>337</v>
      </c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</row>
    <row r="66" spans="1:26" ht="9.75" customHeight="1">
      <c r="A66" s="163"/>
      <c r="B66" s="163"/>
      <c r="C66" s="163" t="s">
        <v>352</v>
      </c>
      <c r="D66" s="163" t="s">
        <v>351</v>
      </c>
      <c r="E66" s="163" t="s">
        <v>337</v>
      </c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</row>
    <row r="67" spans="1:26" ht="9.75" customHeight="1">
      <c r="A67" s="163"/>
      <c r="B67" s="163"/>
      <c r="C67" s="163" t="s">
        <v>353</v>
      </c>
      <c r="D67" s="163" t="s">
        <v>351</v>
      </c>
      <c r="E67" s="163" t="s">
        <v>337</v>
      </c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</row>
    <row r="68" spans="1:26" ht="9.75" customHeight="1">
      <c r="A68" s="163"/>
      <c r="B68" s="163"/>
      <c r="C68" s="163" t="s">
        <v>354</v>
      </c>
      <c r="D68" s="163" t="s">
        <v>351</v>
      </c>
      <c r="E68" s="163" t="s">
        <v>337</v>
      </c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</row>
    <row r="69" spans="1:26" ht="9.75" customHeight="1">
      <c r="A69" s="163"/>
      <c r="B69" s="163"/>
      <c r="C69" s="163" t="s">
        <v>355</v>
      </c>
      <c r="D69" s="163" t="s">
        <v>351</v>
      </c>
      <c r="E69" s="163" t="s">
        <v>337</v>
      </c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</row>
    <row r="70" spans="1:26" ht="9.75" customHeight="1">
      <c r="A70" s="163"/>
      <c r="B70" s="163"/>
      <c r="C70" s="163" t="s">
        <v>356</v>
      </c>
      <c r="D70" s="163" t="s">
        <v>351</v>
      </c>
      <c r="E70" s="163" t="s">
        <v>337</v>
      </c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</row>
    <row r="71" spans="1:26" ht="9.75" customHeight="1">
      <c r="A71" s="163"/>
      <c r="B71" s="163"/>
      <c r="C71" s="163" t="s">
        <v>357</v>
      </c>
      <c r="D71" s="163" t="s">
        <v>351</v>
      </c>
      <c r="E71" s="163" t="s">
        <v>337</v>
      </c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</row>
    <row r="72" spans="1:26" ht="9.75" customHeight="1">
      <c r="A72" s="163"/>
      <c r="B72" s="163"/>
      <c r="C72" s="163" t="s">
        <v>358</v>
      </c>
      <c r="D72" s="163" t="s">
        <v>351</v>
      </c>
      <c r="E72" s="163" t="s">
        <v>337</v>
      </c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</row>
    <row r="73" spans="1:26" ht="9.75" customHeight="1">
      <c r="A73" s="163"/>
      <c r="B73" s="163"/>
      <c r="C73" s="163" t="s">
        <v>359</v>
      </c>
      <c r="D73" s="163" t="s">
        <v>351</v>
      </c>
      <c r="E73" s="163" t="s">
        <v>337</v>
      </c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</row>
    <row r="74" spans="1:26" ht="9.75" customHeight="1">
      <c r="A74" s="163"/>
      <c r="B74" s="163"/>
      <c r="C74" s="163" t="s">
        <v>360</v>
      </c>
      <c r="D74" s="163" t="s">
        <v>351</v>
      </c>
      <c r="E74" s="163" t="s">
        <v>337</v>
      </c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</row>
    <row r="75" spans="1:26" ht="9.75" customHeight="1">
      <c r="A75" s="163"/>
      <c r="B75" s="163"/>
      <c r="C75" s="163" t="s">
        <v>361</v>
      </c>
      <c r="D75" s="163" t="s">
        <v>362</v>
      </c>
      <c r="E75" s="163" t="s">
        <v>337</v>
      </c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</row>
    <row r="76" spans="1:26" ht="9.75" customHeight="1">
      <c r="A76" s="163"/>
      <c r="B76" s="163"/>
      <c r="C76" s="163" t="s">
        <v>363</v>
      </c>
      <c r="D76" s="163" t="s">
        <v>362</v>
      </c>
      <c r="E76" s="163" t="s">
        <v>337</v>
      </c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</row>
    <row r="77" spans="1:26" ht="9.75" customHeight="1">
      <c r="A77" s="163"/>
      <c r="B77" s="163"/>
      <c r="C77" s="163" t="s">
        <v>364</v>
      </c>
      <c r="D77" s="163" t="s">
        <v>362</v>
      </c>
      <c r="E77" s="163" t="s">
        <v>337</v>
      </c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</row>
    <row r="78" spans="1:26" ht="9.75" customHeight="1">
      <c r="A78" s="163"/>
      <c r="B78" s="163"/>
      <c r="C78" s="163" t="s">
        <v>365</v>
      </c>
      <c r="D78" s="163" t="s">
        <v>362</v>
      </c>
      <c r="E78" s="163" t="s">
        <v>337</v>
      </c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</row>
    <row r="79" spans="1:26" ht="9.75" customHeight="1">
      <c r="A79" s="163"/>
      <c r="B79" s="163"/>
      <c r="C79" s="163" t="s">
        <v>366</v>
      </c>
      <c r="D79" s="163" t="s">
        <v>362</v>
      </c>
      <c r="E79" s="163" t="s">
        <v>337</v>
      </c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</row>
    <row r="80" spans="1:26" ht="9.75" customHeight="1">
      <c r="A80" s="163"/>
      <c r="B80" s="163"/>
      <c r="C80" s="163" t="s">
        <v>367</v>
      </c>
      <c r="D80" s="163" t="s">
        <v>368</v>
      </c>
      <c r="E80" s="163" t="s">
        <v>337</v>
      </c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</row>
    <row r="81" spans="1:26" ht="9.75" customHeight="1">
      <c r="A81" s="163"/>
      <c r="B81" s="163"/>
      <c r="C81" s="163" t="s">
        <v>369</v>
      </c>
      <c r="D81" s="163" t="s">
        <v>368</v>
      </c>
      <c r="E81" s="163" t="s">
        <v>337</v>
      </c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</row>
    <row r="82" spans="1:26" ht="9.75" customHeight="1">
      <c r="A82" s="163"/>
      <c r="B82" s="163"/>
      <c r="C82" s="163" t="s">
        <v>370</v>
      </c>
      <c r="D82" s="163" t="s">
        <v>368</v>
      </c>
      <c r="E82" s="163" t="s">
        <v>337</v>
      </c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 spans="1:26" ht="9.75" customHeight="1">
      <c r="A83" s="163"/>
      <c r="B83" s="163"/>
      <c r="C83" s="163" t="s">
        <v>371</v>
      </c>
      <c r="D83" s="163" t="s">
        <v>368</v>
      </c>
      <c r="E83" s="163" t="s">
        <v>337</v>
      </c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 spans="1:26" ht="9.75" customHeight="1">
      <c r="A84" s="163"/>
      <c r="B84" s="163"/>
      <c r="C84" s="163" t="s">
        <v>372</v>
      </c>
      <c r="D84" s="163" t="s">
        <v>368</v>
      </c>
      <c r="E84" s="163" t="s">
        <v>337</v>
      </c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 spans="1:26" ht="9.75" customHeight="1">
      <c r="A85" s="163"/>
      <c r="B85" s="163"/>
      <c r="C85" s="163" t="s">
        <v>373</v>
      </c>
      <c r="D85" s="163" t="s">
        <v>368</v>
      </c>
      <c r="E85" s="163" t="s">
        <v>337</v>
      </c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 spans="1:26" ht="9.75" customHeight="1">
      <c r="A86" s="163"/>
      <c r="B86" s="163"/>
      <c r="C86" s="163" t="s">
        <v>374</v>
      </c>
      <c r="D86" s="163" t="s">
        <v>368</v>
      </c>
      <c r="E86" s="163" t="s">
        <v>337</v>
      </c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 spans="1:26" ht="9.75" customHeight="1">
      <c r="A87" s="163"/>
      <c r="B87" s="163"/>
      <c r="C87" s="163" t="s">
        <v>375</v>
      </c>
      <c r="D87" s="163" t="s">
        <v>376</v>
      </c>
      <c r="E87" s="163" t="s">
        <v>337</v>
      </c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 spans="1:26" ht="9.75" customHeight="1">
      <c r="A88" s="163"/>
      <c r="B88" s="163"/>
      <c r="C88" s="163" t="s">
        <v>377</v>
      </c>
      <c r="D88" s="163" t="s">
        <v>376</v>
      </c>
      <c r="E88" s="163" t="s">
        <v>337</v>
      </c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 spans="1:26" ht="9.75" customHeight="1">
      <c r="A89" s="163"/>
      <c r="B89" s="163"/>
      <c r="C89" s="163" t="s">
        <v>378</v>
      </c>
      <c r="D89" s="163" t="s">
        <v>376</v>
      </c>
      <c r="E89" s="163" t="s">
        <v>337</v>
      </c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 spans="1:26" ht="9.75" customHeight="1">
      <c r="A90" s="163"/>
      <c r="B90" s="163"/>
      <c r="C90" s="163" t="s">
        <v>379</v>
      </c>
      <c r="D90" s="163" t="s">
        <v>376</v>
      </c>
      <c r="E90" s="163" t="s">
        <v>337</v>
      </c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 spans="1:26" ht="9.75" customHeight="1">
      <c r="A91" s="163"/>
      <c r="B91" s="163"/>
      <c r="C91" s="163" t="s">
        <v>380</v>
      </c>
      <c r="D91" s="163" t="s">
        <v>376</v>
      </c>
      <c r="E91" s="163" t="s">
        <v>337</v>
      </c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 spans="1:26" ht="9.75" customHeight="1">
      <c r="A92" s="163"/>
      <c r="B92" s="163"/>
      <c r="C92" s="163" t="s">
        <v>381</v>
      </c>
      <c r="D92" s="163" t="s">
        <v>376</v>
      </c>
      <c r="E92" s="163" t="s">
        <v>337</v>
      </c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 spans="1:26" ht="9.75" customHeight="1">
      <c r="A93" s="163"/>
      <c r="B93" s="163"/>
      <c r="C93" s="163" t="s">
        <v>382</v>
      </c>
      <c r="D93" s="163" t="s">
        <v>376</v>
      </c>
      <c r="E93" s="163" t="s">
        <v>337</v>
      </c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 spans="1:26" ht="9.75" customHeight="1">
      <c r="A94" s="163"/>
      <c r="B94" s="163"/>
      <c r="C94" s="163" t="s">
        <v>383</v>
      </c>
      <c r="D94" s="163" t="s">
        <v>376</v>
      </c>
      <c r="E94" s="163" t="s">
        <v>337</v>
      </c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</row>
    <row r="95" spans="1:26" ht="9.75" customHeight="1">
      <c r="A95" s="163"/>
      <c r="B95" s="163"/>
      <c r="C95" s="163" t="s">
        <v>384</v>
      </c>
      <c r="D95" s="163" t="s">
        <v>376</v>
      </c>
      <c r="E95" s="163" t="s">
        <v>337</v>
      </c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</row>
    <row r="96" spans="1:26" ht="9.75" customHeight="1">
      <c r="A96" s="163"/>
      <c r="B96" s="163"/>
      <c r="C96" s="163" t="s">
        <v>385</v>
      </c>
      <c r="D96" s="163" t="s">
        <v>386</v>
      </c>
      <c r="E96" s="163" t="s">
        <v>337</v>
      </c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</row>
    <row r="97" spans="1:26" ht="9.75" customHeight="1">
      <c r="A97" s="163"/>
      <c r="B97" s="163"/>
      <c r="C97" s="163" t="s">
        <v>387</v>
      </c>
      <c r="D97" s="163" t="s">
        <v>386</v>
      </c>
      <c r="E97" s="163" t="s">
        <v>337</v>
      </c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</row>
    <row r="98" spans="1:26" ht="9.75" customHeight="1">
      <c r="A98" s="163"/>
      <c r="B98" s="163"/>
      <c r="C98" s="163" t="s">
        <v>388</v>
      </c>
      <c r="D98" s="163" t="s">
        <v>386</v>
      </c>
      <c r="E98" s="163" t="s">
        <v>337</v>
      </c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</row>
    <row r="99" spans="1:26" ht="9.75" customHeight="1">
      <c r="A99" s="163"/>
      <c r="B99" s="163"/>
      <c r="C99" s="163" t="s">
        <v>389</v>
      </c>
      <c r="D99" s="163" t="s">
        <v>386</v>
      </c>
      <c r="E99" s="163" t="s">
        <v>337</v>
      </c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</row>
    <row r="100" spans="1:26" ht="9.75" customHeight="1">
      <c r="A100" s="163"/>
      <c r="B100" s="163"/>
      <c r="C100" s="163" t="s">
        <v>390</v>
      </c>
      <c r="D100" s="163" t="s">
        <v>386</v>
      </c>
      <c r="E100" s="163" t="s">
        <v>337</v>
      </c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</row>
    <row r="101" spans="1:26" ht="9.75" customHeight="1">
      <c r="A101" s="163"/>
      <c r="B101" s="163"/>
      <c r="C101" s="163" t="s">
        <v>391</v>
      </c>
      <c r="D101" s="163" t="s">
        <v>386</v>
      </c>
      <c r="E101" s="163" t="s">
        <v>337</v>
      </c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</row>
    <row r="102" spans="1:26" ht="9.75" customHeight="1">
      <c r="A102" s="163"/>
      <c r="B102" s="163"/>
      <c r="C102" s="163" t="s">
        <v>392</v>
      </c>
      <c r="D102" s="163" t="s">
        <v>386</v>
      </c>
      <c r="E102" s="163" t="s">
        <v>337</v>
      </c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</row>
    <row r="103" spans="1:26" ht="9.75" customHeight="1">
      <c r="A103" s="163"/>
      <c r="B103" s="163"/>
      <c r="C103" s="163" t="s">
        <v>393</v>
      </c>
      <c r="D103" s="163" t="s">
        <v>386</v>
      </c>
      <c r="E103" s="163" t="s">
        <v>337</v>
      </c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</row>
    <row r="104" spans="1:26" ht="9.75" customHeight="1">
      <c r="A104" s="163"/>
      <c r="B104" s="163"/>
      <c r="C104" s="163" t="s">
        <v>394</v>
      </c>
      <c r="D104" s="163" t="s">
        <v>395</v>
      </c>
      <c r="E104" s="163" t="s">
        <v>337</v>
      </c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 spans="1:26" ht="9.75" customHeight="1">
      <c r="A105" s="163"/>
      <c r="B105" s="163"/>
      <c r="C105" s="163" t="s">
        <v>396</v>
      </c>
      <c r="D105" s="163" t="s">
        <v>395</v>
      </c>
      <c r="E105" s="163" t="s">
        <v>337</v>
      </c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</row>
    <row r="106" spans="1:26" ht="9.75" customHeight="1">
      <c r="A106" s="163"/>
      <c r="B106" s="163"/>
      <c r="C106" s="163" t="s">
        <v>397</v>
      </c>
      <c r="D106" s="163" t="s">
        <v>395</v>
      </c>
      <c r="E106" s="163" t="s">
        <v>337</v>
      </c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</row>
    <row r="107" spans="1:26" ht="9.75" customHeight="1">
      <c r="A107" s="163"/>
      <c r="B107" s="163"/>
      <c r="C107" s="163" t="s">
        <v>398</v>
      </c>
      <c r="D107" s="163" t="s">
        <v>395</v>
      </c>
      <c r="E107" s="163" t="s">
        <v>337</v>
      </c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</row>
    <row r="108" spans="1:26" ht="9.75" customHeight="1">
      <c r="A108" s="163"/>
      <c r="B108" s="163"/>
      <c r="C108" s="163" t="s">
        <v>399</v>
      </c>
      <c r="D108" s="163" t="s">
        <v>395</v>
      </c>
      <c r="E108" s="163" t="s">
        <v>337</v>
      </c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</row>
    <row r="109" spans="1:26" ht="9.75" customHeight="1">
      <c r="A109" s="163"/>
      <c r="B109" s="163"/>
      <c r="C109" s="163" t="s">
        <v>400</v>
      </c>
      <c r="D109" s="163" t="s">
        <v>395</v>
      </c>
      <c r="E109" s="163" t="s">
        <v>337</v>
      </c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</row>
    <row r="110" spans="1:26" ht="9.75" customHeight="1">
      <c r="A110" s="163"/>
      <c r="B110" s="163"/>
      <c r="C110" s="163" t="s">
        <v>401</v>
      </c>
      <c r="D110" s="163" t="s">
        <v>395</v>
      </c>
      <c r="E110" s="163" t="s">
        <v>337</v>
      </c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 spans="1:26" ht="9.75" customHeight="1">
      <c r="A111" s="163"/>
      <c r="B111" s="163"/>
      <c r="C111" s="168" t="s">
        <v>402</v>
      </c>
      <c r="D111" s="163" t="s">
        <v>211</v>
      </c>
      <c r="E111" s="163" t="s">
        <v>212</v>
      </c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 spans="1:26" ht="9.75" customHeight="1">
      <c r="A112" s="163"/>
      <c r="B112" s="163"/>
      <c r="C112" s="163" t="s">
        <v>403</v>
      </c>
      <c r="D112" s="163" t="s">
        <v>404</v>
      </c>
      <c r="E112" s="163" t="s">
        <v>405</v>
      </c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 spans="1:26" ht="9.75" customHeight="1">
      <c r="A113" s="163"/>
      <c r="B113" s="163"/>
      <c r="C113" s="163" t="s">
        <v>406</v>
      </c>
      <c r="D113" s="163" t="s">
        <v>404</v>
      </c>
      <c r="E113" s="163" t="s">
        <v>405</v>
      </c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 spans="1:26" ht="9.75" customHeight="1">
      <c r="A114" s="163"/>
      <c r="B114" s="163"/>
      <c r="C114" s="163" t="s">
        <v>407</v>
      </c>
      <c r="D114" s="163" t="s">
        <v>404</v>
      </c>
      <c r="E114" s="163" t="s">
        <v>405</v>
      </c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 spans="1:26" ht="9.75" customHeight="1">
      <c r="A115" s="163"/>
      <c r="B115" s="163"/>
      <c r="C115" s="163" t="s">
        <v>408</v>
      </c>
      <c r="D115" s="163" t="s">
        <v>404</v>
      </c>
      <c r="E115" s="163" t="s">
        <v>405</v>
      </c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 spans="1:26" ht="9.75" customHeight="1">
      <c r="A116" s="163"/>
      <c r="B116" s="163"/>
      <c r="C116" s="163" t="s">
        <v>409</v>
      </c>
      <c r="D116" s="163" t="s">
        <v>404</v>
      </c>
      <c r="E116" s="163" t="s">
        <v>405</v>
      </c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 spans="1:26" ht="9.75" customHeight="1">
      <c r="A117" s="163"/>
      <c r="B117" s="163"/>
      <c r="C117" s="163" t="s">
        <v>410</v>
      </c>
      <c r="D117" s="163" t="s">
        <v>404</v>
      </c>
      <c r="E117" s="163" t="s">
        <v>405</v>
      </c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 spans="1:26" ht="9.75" customHeight="1">
      <c r="A118" s="163"/>
      <c r="B118" s="163"/>
      <c r="C118" s="163" t="s">
        <v>411</v>
      </c>
      <c r="D118" s="163" t="s">
        <v>412</v>
      </c>
      <c r="E118" s="163" t="s">
        <v>405</v>
      </c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 spans="1:26" ht="9.75" customHeight="1">
      <c r="A119" s="163"/>
      <c r="B119" s="163"/>
      <c r="C119" s="163" t="s">
        <v>413</v>
      </c>
      <c r="D119" s="163" t="s">
        <v>412</v>
      </c>
      <c r="E119" s="163" t="s">
        <v>405</v>
      </c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 spans="1:26" ht="9.75" customHeight="1">
      <c r="A120" s="163"/>
      <c r="B120" s="163"/>
      <c r="C120" s="163" t="s">
        <v>414</v>
      </c>
      <c r="D120" s="163" t="s">
        <v>412</v>
      </c>
      <c r="E120" s="163" t="s">
        <v>405</v>
      </c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 spans="1:26" ht="9.75" customHeight="1">
      <c r="A121" s="163"/>
      <c r="B121" s="163"/>
      <c r="C121" s="163" t="s">
        <v>415</v>
      </c>
      <c r="D121" s="163" t="s">
        <v>416</v>
      </c>
      <c r="E121" s="163" t="s">
        <v>405</v>
      </c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 spans="1:26" ht="9.75" customHeight="1">
      <c r="A122" s="163"/>
      <c r="B122" s="163"/>
      <c r="C122" s="163" t="s">
        <v>417</v>
      </c>
      <c r="D122" s="163" t="s">
        <v>416</v>
      </c>
      <c r="E122" s="163" t="s">
        <v>405</v>
      </c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 spans="1:26" ht="9.75" customHeight="1">
      <c r="A123" s="163"/>
      <c r="B123" s="163"/>
      <c r="C123" s="163" t="s">
        <v>418</v>
      </c>
      <c r="D123" s="163" t="s">
        <v>416</v>
      </c>
      <c r="E123" s="163" t="s">
        <v>405</v>
      </c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 spans="1:26" ht="9.75" customHeight="1">
      <c r="A124" s="163"/>
      <c r="B124" s="163"/>
      <c r="C124" s="163" t="s">
        <v>419</v>
      </c>
      <c r="D124" s="163" t="s">
        <v>416</v>
      </c>
      <c r="E124" s="163" t="s">
        <v>405</v>
      </c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 spans="1:26" ht="9.75" customHeight="1">
      <c r="A125" s="163"/>
      <c r="B125" s="163"/>
      <c r="C125" s="163" t="s">
        <v>420</v>
      </c>
      <c r="D125" s="163" t="s">
        <v>416</v>
      </c>
      <c r="E125" s="163" t="s">
        <v>405</v>
      </c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 spans="1:26" ht="9.75" customHeight="1">
      <c r="A126" s="163"/>
      <c r="B126" s="163"/>
      <c r="C126" s="163" t="s">
        <v>421</v>
      </c>
      <c r="D126" s="163" t="s">
        <v>416</v>
      </c>
      <c r="E126" s="163" t="s">
        <v>405</v>
      </c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 spans="1:26" ht="9.75" customHeight="1">
      <c r="A127" s="163"/>
      <c r="B127" s="163"/>
      <c r="C127" s="163" t="s">
        <v>422</v>
      </c>
      <c r="D127" s="163" t="s">
        <v>423</v>
      </c>
      <c r="E127" s="163" t="s">
        <v>405</v>
      </c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 spans="1:26" ht="9.75" customHeight="1">
      <c r="A128" s="163"/>
      <c r="B128" s="163"/>
      <c r="C128" s="163" t="s">
        <v>424</v>
      </c>
      <c r="D128" s="163" t="s">
        <v>423</v>
      </c>
      <c r="E128" s="163" t="s">
        <v>405</v>
      </c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 spans="1:26" ht="9.75" customHeight="1">
      <c r="A129" s="163"/>
      <c r="B129" s="163"/>
      <c r="C129" s="163" t="s">
        <v>425</v>
      </c>
      <c r="D129" s="163" t="s">
        <v>423</v>
      </c>
      <c r="E129" s="163" t="s">
        <v>405</v>
      </c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 spans="1:26" ht="9.75" customHeight="1">
      <c r="A130" s="163"/>
      <c r="B130" s="163"/>
      <c r="C130" s="163" t="s">
        <v>426</v>
      </c>
      <c r="D130" s="163" t="s">
        <v>423</v>
      </c>
      <c r="E130" s="163" t="s">
        <v>405</v>
      </c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 spans="1:26" ht="9.75" customHeight="1">
      <c r="A131" s="163"/>
      <c r="B131" s="163"/>
      <c r="C131" s="168" t="s">
        <v>427</v>
      </c>
      <c r="D131" s="163" t="s">
        <v>211</v>
      </c>
      <c r="E131" s="163" t="s">
        <v>212</v>
      </c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 spans="1:26" ht="9.75" customHeight="1">
      <c r="A132" s="163"/>
      <c r="B132" s="163"/>
      <c r="C132" s="163" t="s">
        <v>428</v>
      </c>
      <c r="D132" s="163" t="s">
        <v>429</v>
      </c>
      <c r="E132" s="163" t="s">
        <v>430</v>
      </c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 spans="1:26" ht="9.75" customHeight="1">
      <c r="A133" s="163"/>
      <c r="B133" s="163"/>
      <c r="C133" s="163" t="s">
        <v>431</v>
      </c>
      <c r="D133" s="163" t="s">
        <v>429</v>
      </c>
      <c r="E133" s="163" t="s">
        <v>430</v>
      </c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 spans="1:26" ht="9.75" customHeight="1">
      <c r="A134" s="163"/>
      <c r="B134" s="163"/>
      <c r="C134" s="163" t="s">
        <v>432</v>
      </c>
      <c r="D134" s="163" t="s">
        <v>429</v>
      </c>
      <c r="E134" s="163" t="s">
        <v>430</v>
      </c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 spans="1:26" ht="9.75" customHeight="1">
      <c r="A135" s="163"/>
      <c r="B135" s="163"/>
      <c r="C135" s="163" t="s">
        <v>433</v>
      </c>
      <c r="D135" s="163" t="s">
        <v>429</v>
      </c>
      <c r="E135" s="163" t="s">
        <v>430</v>
      </c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 spans="1:26" ht="9.75" customHeight="1">
      <c r="A136" s="163"/>
      <c r="B136" s="163"/>
      <c r="C136" s="163" t="s">
        <v>434</v>
      </c>
      <c r="D136" s="163" t="s">
        <v>435</v>
      </c>
      <c r="E136" s="163" t="s">
        <v>430</v>
      </c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 spans="1:26" ht="9.75" customHeight="1">
      <c r="A137" s="163"/>
      <c r="B137" s="163"/>
      <c r="C137" s="163" t="s">
        <v>436</v>
      </c>
      <c r="D137" s="163" t="s">
        <v>435</v>
      </c>
      <c r="E137" s="163" t="s">
        <v>430</v>
      </c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38" spans="1:26" ht="9.75" customHeight="1">
      <c r="A138" s="163"/>
      <c r="B138" s="163"/>
      <c r="C138" s="163" t="s">
        <v>437</v>
      </c>
      <c r="D138" s="163" t="s">
        <v>435</v>
      </c>
      <c r="E138" s="163" t="s">
        <v>430</v>
      </c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 spans="1:26" ht="9.75" customHeight="1">
      <c r="A139" s="163"/>
      <c r="B139" s="163"/>
      <c r="C139" s="163" t="s">
        <v>438</v>
      </c>
      <c r="D139" s="163" t="s">
        <v>435</v>
      </c>
      <c r="E139" s="163" t="s">
        <v>430</v>
      </c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 spans="1:26" ht="9.75" customHeight="1">
      <c r="A140" s="163"/>
      <c r="B140" s="163"/>
      <c r="C140" s="163" t="s">
        <v>439</v>
      </c>
      <c r="D140" s="163" t="s">
        <v>435</v>
      </c>
      <c r="E140" s="163" t="s">
        <v>430</v>
      </c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</row>
    <row r="141" spans="1:26" ht="9.75" customHeight="1">
      <c r="A141" s="163"/>
      <c r="B141" s="163"/>
      <c r="C141" s="163" t="s">
        <v>440</v>
      </c>
      <c r="D141" s="163" t="s">
        <v>435</v>
      </c>
      <c r="E141" s="163" t="s">
        <v>430</v>
      </c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 spans="1:26" ht="9.75" customHeight="1">
      <c r="A142" s="163"/>
      <c r="B142" s="163"/>
      <c r="C142" s="163" t="s">
        <v>441</v>
      </c>
      <c r="D142" s="163" t="s">
        <v>435</v>
      </c>
      <c r="E142" s="163" t="s">
        <v>430</v>
      </c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</row>
    <row r="143" spans="1:26" ht="9.75" customHeight="1">
      <c r="A143" s="163"/>
      <c r="B143" s="163"/>
      <c r="C143" s="163" t="s">
        <v>442</v>
      </c>
      <c r="D143" s="163" t="s">
        <v>443</v>
      </c>
      <c r="E143" s="163" t="s">
        <v>430</v>
      </c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 spans="1:26" ht="9.75" customHeight="1">
      <c r="A144" s="163"/>
      <c r="B144" s="163"/>
      <c r="C144" s="163" t="s">
        <v>444</v>
      </c>
      <c r="D144" s="163" t="s">
        <v>443</v>
      </c>
      <c r="E144" s="163" t="s">
        <v>430</v>
      </c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</row>
    <row r="145" spans="1:26" ht="9.75" customHeight="1">
      <c r="A145" s="163"/>
      <c r="B145" s="163"/>
      <c r="C145" s="163" t="s">
        <v>445</v>
      </c>
      <c r="D145" s="163" t="s">
        <v>443</v>
      </c>
      <c r="E145" s="163" t="s">
        <v>430</v>
      </c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</row>
    <row r="146" spans="1:26" ht="9.75" customHeight="1">
      <c r="A146" s="163"/>
      <c r="B146" s="163"/>
      <c r="C146" s="163" t="s">
        <v>446</v>
      </c>
      <c r="D146" s="163" t="s">
        <v>443</v>
      </c>
      <c r="E146" s="163" t="s">
        <v>430</v>
      </c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</row>
    <row r="147" spans="1:26" ht="9.75" customHeight="1">
      <c r="A147" s="163"/>
      <c r="B147" s="163"/>
      <c r="C147" s="163" t="s">
        <v>447</v>
      </c>
      <c r="D147" s="163" t="s">
        <v>443</v>
      </c>
      <c r="E147" s="163" t="s">
        <v>430</v>
      </c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</row>
    <row r="148" spans="1:26" ht="9.75" customHeight="1">
      <c r="A148" s="163"/>
      <c r="B148" s="163"/>
      <c r="C148" s="163" t="s">
        <v>448</v>
      </c>
      <c r="D148" s="163" t="s">
        <v>443</v>
      </c>
      <c r="E148" s="163" t="s">
        <v>430</v>
      </c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</row>
    <row r="149" spans="1:26" ht="9.75" customHeight="1">
      <c r="A149" s="163"/>
      <c r="B149" s="163"/>
      <c r="C149" s="163" t="s">
        <v>449</v>
      </c>
      <c r="D149" s="163" t="s">
        <v>450</v>
      </c>
      <c r="E149" s="163" t="s">
        <v>430</v>
      </c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</row>
    <row r="150" spans="1:26" ht="9.75" customHeight="1">
      <c r="A150" s="163"/>
      <c r="B150" s="163"/>
      <c r="C150" s="163" t="s">
        <v>451</v>
      </c>
      <c r="D150" s="163" t="s">
        <v>450</v>
      </c>
      <c r="E150" s="163" t="s">
        <v>430</v>
      </c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</row>
    <row r="151" spans="1:26" ht="9.75" customHeight="1">
      <c r="A151" s="163"/>
      <c r="B151" s="163"/>
      <c r="C151" s="163" t="s">
        <v>452</v>
      </c>
      <c r="D151" s="163" t="s">
        <v>450</v>
      </c>
      <c r="E151" s="163" t="s">
        <v>430</v>
      </c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</row>
    <row r="152" spans="1:26" ht="9.75" customHeight="1">
      <c r="A152" s="163"/>
      <c r="B152" s="163"/>
      <c r="C152" s="163" t="s">
        <v>453</v>
      </c>
      <c r="D152" s="163" t="s">
        <v>450</v>
      </c>
      <c r="E152" s="163" t="s">
        <v>430</v>
      </c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 spans="1:26" ht="9.75" customHeight="1">
      <c r="A153" s="163"/>
      <c r="B153" s="163"/>
      <c r="C153" s="163" t="s">
        <v>454</v>
      </c>
      <c r="D153" s="163" t="s">
        <v>450</v>
      </c>
      <c r="E153" s="163" t="s">
        <v>430</v>
      </c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</row>
    <row r="154" spans="1:26" ht="9.75" customHeight="1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</row>
    <row r="155" spans="1:26" ht="9.75" customHeight="1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</row>
    <row r="156" spans="1:26" ht="9.75" customHeight="1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</row>
    <row r="157" spans="1:26" ht="9.75" customHeight="1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 spans="1:26" ht="9.75" customHeight="1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</row>
    <row r="159" spans="1:26" ht="9.75" customHeight="1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</row>
    <row r="160" spans="1:26" ht="9.75" customHeight="1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</row>
    <row r="161" spans="1:26" ht="9.75" customHeight="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</row>
    <row r="162" spans="1:26" ht="9.75" customHeight="1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</row>
    <row r="163" spans="1:26" ht="9.75" customHeight="1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 spans="1:26" ht="9.75" customHeight="1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</row>
    <row r="165" spans="1:26" ht="9.75" customHeight="1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</row>
    <row r="166" spans="1:26" ht="9.75" customHeight="1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</row>
    <row r="167" spans="1:26" ht="9.75" customHeight="1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</row>
    <row r="168" spans="1:26" ht="9.75" customHeight="1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</row>
    <row r="169" spans="1:26" ht="9.75" customHeight="1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</row>
    <row r="170" spans="1:26" ht="9.75" customHeight="1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</row>
    <row r="171" spans="1:26" ht="9.75" customHeight="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</row>
    <row r="172" spans="1:26" ht="9.75" customHeight="1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</row>
    <row r="173" spans="1:26" ht="9.75" customHeight="1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</row>
    <row r="174" spans="1:26" ht="9.75" customHeight="1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</row>
    <row r="175" spans="1:26" ht="9.75" customHeight="1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</row>
    <row r="176" spans="1:26" ht="9.75" customHeight="1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 spans="1:26" ht="9.75" customHeight="1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 spans="1:26" ht="9.75" customHeight="1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 spans="1:26" ht="9.75" customHeight="1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</row>
    <row r="180" spans="1:26" ht="9.75" customHeight="1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</row>
    <row r="181" spans="1:26" ht="9.75" customHeight="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</row>
    <row r="182" spans="1:26" ht="9.75" customHeight="1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</row>
    <row r="183" spans="1:26" ht="9.75" customHeight="1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</row>
  </sheetData>
  <conditionalFormatting sqref="C1:C184">
    <cfRule type="beginsWith" dxfId="0" priority="1" operator="beginsWith" text="all">
      <formula>LEFT((C1),LEN("all"))=("all")</formula>
    </cfRule>
  </conditionalFormatting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47af1-7452-45e8-9bfe-3e3e00557a48" xsi:nil="true"/>
    <lcf76f155ced4ddcb4097134ff3c332f xmlns="218c6659-17ae-4189-9348-5f033980b9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43293A7ACD0C419145430929CB9E1A" ma:contentTypeVersion="15" ma:contentTypeDescription="Create a new document." ma:contentTypeScope="" ma:versionID="8eee4afcd50f6dcef7ad12ba60e74338">
  <xsd:schema xmlns:xsd="http://www.w3.org/2001/XMLSchema" xmlns:xs="http://www.w3.org/2001/XMLSchema" xmlns:p="http://schemas.microsoft.com/office/2006/metadata/properties" xmlns:ns2="09847af1-7452-45e8-9bfe-3e3e00557a48" xmlns:ns3="218c6659-17ae-4189-9348-5f033980b921" targetNamespace="http://schemas.microsoft.com/office/2006/metadata/properties" ma:root="true" ma:fieldsID="d0d45d7fa48194c4020ba3384565ad45" ns2:_="" ns3:_="">
    <xsd:import namespace="09847af1-7452-45e8-9bfe-3e3e00557a48"/>
    <xsd:import namespace="218c6659-17ae-4189-9348-5f033980b9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47af1-7452-45e8-9bfe-3e3e00557a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8b2294a-4c3f-453a-8cd9-861d75eb4159}" ma:internalName="TaxCatchAll" ma:showField="CatchAllData" ma:web="09847af1-7452-45e8-9bfe-3e3e00557a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c6659-17ae-4189-9348-5f033980b9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0f5e17a-9f0d-4b8f-99dc-91060a9285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395810-38EA-4AD9-90B0-11B9875713F3}">
  <ds:schemaRefs>
    <ds:schemaRef ds:uri="09847af1-7452-45e8-9bfe-3e3e00557a48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218c6659-17ae-4189-9348-5f033980b921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26110D-C15E-4CFC-A63B-1FE94D7A58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F64ED0-0F51-4297-8309-DF4851688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47af1-7452-45e8-9bfe-3e3e00557a48"/>
    <ds:schemaRef ds:uri="218c6659-17ae-4189-9348-5f033980b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Instructions</vt:lpstr>
      <vt:lpstr>Risk Matrix</vt:lpstr>
      <vt:lpstr>Event Details</vt:lpstr>
      <vt:lpstr>Event Risks</vt:lpstr>
      <vt:lpstr>Activity Risks</vt:lpstr>
      <vt:lpstr>Sign-off</vt:lpstr>
      <vt:lpstr>Lookups</vt:lpstr>
      <vt:lpstr>Lookups!Activity</vt:lpstr>
      <vt:lpstr>Lookups!groupsList</vt:lpstr>
      <vt:lpstr>'Activity Risks'!Print_Area</vt:lpstr>
      <vt:lpstr>'Event Details'!Print_Area</vt:lpstr>
      <vt:lpstr>Instructions!Print_Area</vt:lpstr>
      <vt:lpstr>'Sign-off'!Print_Area</vt:lpstr>
      <vt:lpstr>Lookups!riskwords</vt:lpstr>
      <vt:lpstr>Lookups!Role</vt:lpstr>
      <vt:lpstr>Lookups!sectionList</vt:lpstr>
      <vt:lpstr>Lookups!yesnoList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Del Bove Barbosa</dc:creator>
  <cp:keywords/>
  <dc:description/>
  <cp:lastModifiedBy>Tracey Baker</cp:lastModifiedBy>
  <cp:revision/>
  <cp:lastPrinted>2026-02-05T08:27:03Z</cp:lastPrinted>
  <dcterms:created xsi:type="dcterms:W3CDTF">2023-09-08T02:58:47Z</dcterms:created>
  <dcterms:modified xsi:type="dcterms:W3CDTF">2026-02-05T08:27:04Z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0x010100B243293A7ACD0C419145430929CB9E1A</vt:lpwstr>
  </property>
  <property fmtid="{D5CDD505-2E9C-101B-9397-08002B2CF9AE}" pid="3" name="MediaServiceImageTags">
    <vt:lpwstr/>
  </property>
</Properties>
</file>